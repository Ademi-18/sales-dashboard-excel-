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enekan\Desktop\"/>
    </mc:Choice>
  </mc:AlternateContent>
  <xr:revisionPtr revIDLastSave="0" documentId="13_ncr:1_{0BD55C6B-66A4-4EBD-8C66-6AAAC89AD677}" xr6:coauthVersionLast="47" xr6:coauthVersionMax="47" xr10:uidLastSave="{00000000-0000-0000-0000-000000000000}"/>
  <bookViews>
    <workbookView xWindow="-108" yWindow="-108" windowWidth="23256" windowHeight="12576" activeTab="3" xr2:uid="{00000000-000D-0000-FFFF-FFFF00000000}"/>
  </bookViews>
  <sheets>
    <sheet name="Sales_Data" sheetId="1" r:id="rId1"/>
    <sheet name="Clean Sales_Data" sheetId="4" r:id="rId2"/>
    <sheet name="Pivot table" sheetId="5" r:id="rId3"/>
    <sheet name="Dash Board" sheetId="7" r:id="rId4"/>
    <sheet name="observation and recommendation" sheetId="8" r:id="rId5"/>
  </sheets>
  <definedNames>
    <definedName name="Slicer_Months__Dat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2" i="4"/>
  <c r="H3" i="4"/>
  <c r="I3" i="4" s="1"/>
  <c r="H4" i="4"/>
  <c r="I4" i="4" s="1"/>
  <c r="H5" i="4"/>
  <c r="I5" i="4" s="1"/>
  <c r="H6" i="4"/>
  <c r="I6" i="4" s="1"/>
  <c r="H7" i="4"/>
  <c r="I7" i="4" s="1"/>
  <c r="H8" i="4"/>
  <c r="I8" i="4" s="1"/>
  <c r="H9" i="4"/>
  <c r="I9" i="4" s="1"/>
  <c r="H10" i="4"/>
  <c r="I10" i="4" s="1"/>
  <c r="H11" i="4"/>
  <c r="I11" i="4" s="1"/>
  <c r="H12" i="4"/>
  <c r="I12" i="4" s="1"/>
  <c r="H13" i="4"/>
  <c r="I13" i="4" s="1"/>
  <c r="H14" i="4"/>
  <c r="I14" i="4" s="1"/>
  <c r="H15" i="4"/>
  <c r="I15" i="4" s="1"/>
  <c r="H16" i="4"/>
  <c r="I16" i="4" s="1"/>
  <c r="H17" i="4"/>
  <c r="I17" i="4" s="1"/>
  <c r="H18" i="4"/>
  <c r="I18" i="4" s="1"/>
  <c r="H19" i="4"/>
  <c r="I19" i="4" s="1"/>
  <c r="H20" i="4"/>
  <c r="I20" i="4" s="1"/>
  <c r="H21" i="4"/>
  <c r="I21" i="4" s="1"/>
  <c r="H22" i="4"/>
  <c r="I22" i="4" s="1"/>
  <c r="H23" i="4"/>
  <c r="I23" i="4" s="1"/>
  <c r="H24" i="4"/>
  <c r="I24" i="4" s="1"/>
  <c r="H25" i="4"/>
  <c r="I25" i="4" s="1"/>
  <c r="H26" i="4"/>
  <c r="I26" i="4" s="1"/>
  <c r="H27" i="4"/>
  <c r="I27" i="4" s="1"/>
  <c r="H28" i="4"/>
  <c r="I28" i="4" s="1"/>
  <c r="H29" i="4"/>
  <c r="I29" i="4" s="1"/>
  <c r="H30" i="4"/>
  <c r="I30" i="4" s="1"/>
  <c r="H31" i="4"/>
  <c r="I31" i="4" s="1"/>
  <c r="H32" i="4"/>
  <c r="I32" i="4" s="1"/>
  <c r="H33" i="4"/>
  <c r="I33" i="4" s="1"/>
  <c r="H34" i="4"/>
  <c r="I34" i="4" s="1"/>
  <c r="H35" i="4"/>
  <c r="I35" i="4" s="1"/>
  <c r="H36" i="4"/>
  <c r="I36" i="4" s="1"/>
  <c r="H37" i="4"/>
  <c r="I37" i="4" s="1"/>
  <c r="H38" i="4"/>
  <c r="I38" i="4" s="1"/>
  <c r="H39" i="4"/>
  <c r="I39" i="4" s="1"/>
  <c r="H40" i="4"/>
  <c r="I40" i="4" s="1"/>
  <c r="H41" i="4"/>
  <c r="I41" i="4" s="1"/>
  <c r="H42" i="4"/>
  <c r="I42" i="4" s="1"/>
  <c r="H43" i="4"/>
  <c r="I43" i="4" s="1"/>
  <c r="H44" i="4"/>
  <c r="I44" i="4" s="1"/>
  <c r="H45" i="4"/>
  <c r="I45" i="4" s="1"/>
  <c r="H46" i="4"/>
  <c r="I46" i="4" s="1"/>
  <c r="H47" i="4"/>
  <c r="I47" i="4" s="1"/>
  <c r="H48" i="4"/>
  <c r="I48" i="4" s="1"/>
  <c r="H49" i="4"/>
  <c r="I49" i="4" s="1"/>
  <c r="H50" i="4"/>
  <c r="I50" i="4" s="1"/>
  <c r="H51" i="4"/>
  <c r="I51" i="4" s="1"/>
  <c r="H52" i="4"/>
  <c r="I52" i="4" s="1"/>
  <c r="H53" i="4"/>
  <c r="I53" i="4" s="1"/>
  <c r="H54" i="4"/>
  <c r="I54" i="4" s="1"/>
  <c r="H55" i="4"/>
  <c r="I55" i="4" s="1"/>
  <c r="H56" i="4"/>
  <c r="I56" i="4" s="1"/>
  <c r="H57" i="4"/>
  <c r="I57" i="4" s="1"/>
  <c r="H58" i="4"/>
  <c r="I58" i="4" s="1"/>
  <c r="H59" i="4"/>
  <c r="I59" i="4" s="1"/>
  <c r="H60" i="4"/>
  <c r="I60" i="4" s="1"/>
  <c r="H61" i="4"/>
  <c r="I61" i="4" s="1"/>
  <c r="H2" i="4"/>
  <c r="I2" i="4" s="1"/>
</calcChain>
</file>

<file path=xl/sharedStrings.xml><?xml version="1.0" encoding="utf-8"?>
<sst xmlns="http://schemas.openxmlformats.org/spreadsheetml/2006/main" count="547" uniqueCount="65">
  <si>
    <t>Date</t>
  </si>
  <si>
    <t>State</t>
  </si>
  <si>
    <t>Product_Category</t>
  </si>
  <si>
    <t>Product_Name</t>
  </si>
  <si>
    <t>Sales_Rep</t>
  </si>
  <si>
    <t>Quantity</t>
  </si>
  <si>
    <t>Unit_Price</t>
  </si>
  <si>
    <t>Total_Sales</t>
  </si>
  <si>
    <t>Rice</t>
  </si>
  <si>
    <t>Grace</t>
  </si>
  <si>
    <t>Oyo</t>
  </si>
  <si>
    <t>Sugar</t>
  </si>
  <si>
    <t>Mary</t>
  </si>
  <si>
    <t>Lagos</t>
  </si>
  <si>
    <t>Electronics</t>
  </si>
  <si>
    <t>Laptop</t>
  </si>
  <si>
    <t>Daniel</t>
  </si>
  <si>
    <t>Power Bank</t>
  </si>
  <si>
    <t>Usman</t>
  </si>
  <si>
    <t>Fashion</t>
  </si>
  <si>
    <t>Bag</t>
  </si>
  <si>
    <t>Phone</t>
  </si>
  <si>
    <t>David</t>
  </si>
  <si>
    <t>Aisha</t>
  </si>
  <si>
    <t>Rivers</t>
  </si>
  <si>
    <t>Abuja</t>
  </si>
  <si>
    <t>Milk</t>
  </si>
  <si>
    <t>T-Shirt</t>
  </si>
  <si>
    <t>Sneakers</t>
  </si>
  <si>
    <t>kAnO</t>
  </si>
  <si>
    <t>gRoCeRiEs</t>
  </si>
  <si>
    <t>OGuN</t>
  </si>
  <si>
    <t>Sales Category</t>
  </si>
  <si>
    <t>Clean State</t>
  </si>
  <si>
    <t>Kano</t>
  </si>
  <si>
    <t>Ogun</t>
  </si>
  <si>
    <t>Clean Product_Category</t>
  </si>
  <si>
    <t>Groceries</t>
  </si>
  <si>
    <t>Adewale Grace</t>
  </si>
  <si>
    <t>Row Labels</t>
  </si>
  <si>
    <t>Grand Total</t>
  </si>
  <si>
    <t>Jan</t>
  </si>
  <si>
    <t>Feb</t>
  </si>
  <si>
    <t>Mar</t>
  </si>
  <si>
    <t>Apr</t>
  </si>
  <si>
    <t>May</t>
  </si>
  <si>
    <t>Jun</t>
  </si>
  <si>
    <t>Sum of Quantity</t>
  </si>
  <si>
    <t>Email</t>
  </si>
  <si>
    <t>Sum of Total_Sales</t>
  </si>
  <si>
    <t>SALES PERFORMANCE DASHBOARD</t>
  </si>
  <si>
    <t>1. Sales are not even across states. Oyo, Abuja, and Lagos bring in most of the revenue, while Rivers and Ogun together make up less than 16% of total sales.</t>
  </si>
  <si>
    <t>2. Sales reps are not performing equally. Daniel and David are the top sellers, while Aisha's sales are less than half of Daniel's.</t>
  </si>
  <si>
    <t>3. Product categories sold fairly evenly. Electronics (185), Fashion (181), and Groceries (175) are close in numbers, so no one category is way ahead.</t>
  </si>
  <si>
    <t>4. Sales dropped a lot mid-year. Units sold fell by over 70% from January (144) to May (40), then picked back up to 133 in June.</t>
  </si>
  <si>
    <t>Observation</t>
  </si>
  <si>
    <t>Recommendation</t>
  </si>
  <si>
    <t>1. Find out what's working in Oyo and Abuja, and try the same approach in Rivers and Ogun to boost their sales.</t>
  </si>
  <si>
    <t>2. Look into why sales dropped between April and May, whether it's the season, stock issues, or staffing, so it doesn't happen again.</t>
  </si>
  <si>
    <t>3. Since all product categories are selling well, focus more on improving weak states and reps rather than changing what's sold.</t>
  </si>
  <si>
    <t>4. Pair weaker-performing reps like Aisha with strong ones like Daniel or David, so they can learn from each other.</t>
  </si>
  <si>
    <t>Project Background</t>
  </si>
  <si>
    <t>I was given a sales dataset to clean, analyze, and turn into a dashboard. The data had inconsistent formatting, mixed-up text casing, and needed proper cleaning before I could work with it. Once it was clean, I used PivotTables to break the sales down by state, sales rep, and product category, then built charts to visualize each one. I also added a slicer so the dashboard can be filtered by month, making it easy to see how sales changed over time, not just as one big total. The goal was to go beyond just reporting numbers and actually find patterns that could guide business decisions.</t>
  </si>
  <si>
    <t>The top 2 months with the highest quantity sold are January (144 units) and June (133 units).</t>
  </si>
  <si>
    <t>Top 2 Months by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</si>
</sst>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6A]#,##0"/>
  </numFmts>
  <fonts count="6" x14ac:knownFonts="1">
    <font>
      <sz val="11"/>
      <color theme="1"/>
      <name val="Calibri"/>
      <family val="2"/>
      <scheme val="minor"/>
    </font>
    <font>
      <b/>
      <sz val="11"/>
      <name val="Calibri"/>
      <family val="2"/>
    </font>
    <font>
      <b/>
      <sz val="20"/>
      <color theme="0"/>
      <name val="Arial Black"/>
      <family val="2"/>
    </font>
    <font>
      <sz val="11"/>
      <color theme="1"/>
      <name val="Arial"/>
      <family val="2"/>
    </font>
    <font>
      <sz val="16"/>
      <color theme="1"/>
      <name val="Arial Black"/>
      <family val="2"/>
    </font>
    <font>
      <b/>
      <sz val="16"/>
      <color theme="1"/>
      <name val="Arial Black"/>
      <family val="2"/>
    </font>
  </fonts>
  <fills count="5">
    <fill>
      <patternFill patternType="none"/>
    </fill>
    <fill>
      <patternFill patternType="gray125"/>
    </fill>
    <fill>
      <patternFill patternType="solid">
        <fgColor theme="4"/>
        <bgColor indexed="64"/>
      </patternFill>
    </fill>
    <fill>
      <patternFill patternType="solid">
        <fgColor rgb="FF17324D"/>
        <bgColor indexed="64"/>
      </patternFill>
    </fill>
    <fill>
      <patternFill patternType="solid">
        <fgColor rgb="FFF4F6F8"/>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2" borderId="0" xfId="0" applyFont="1" applyFill="1"/>
    <xf numFmtId="165" fontId="1" fillId="2" borderId="0" xfId="0" applyNumberFormat="1" applyFont="1" applyFill="1"/>
    <xf numFmtId="165" fontId="0" fillId="0" borderId="0" xfId="0" applyNumberFormat="1"/>
    <xf numFmtId="0" fontId="0" fillId="0" borderId="0" xfId="0" pivotButton="1"/>
    <xf numFmtId="0" fontId="0" fillId="0" borderId="0" xfId="0" applyAlignment="1">
      <alignment horizontal="left"/>
    </xf>
    <xf numFmtId="0" fontId="5" fillId="0" borderId="0" xfId="0" applyFont="1"/>
    <xf numFmtId="0" fontId="3" fillId="0" borderId="0" xfId="0" applyFont="1"/>
    <xf numFmtId="0" fontId="4" fillId="0" borderId="0" xfId="0" applyFont="1"/>
    <xf numFmtId="0" fontId="0" fillId="0" borderId="0" xfId="0" applyAlignment="1">
      <alignment wrapText="1"/>
    </xf>
    <xf numFmtId="0" fontId="3" fillId="0" borderId="0" xfId="0" applyFont="1" applyAlignment="1">
      <alignment wrapText="1"/>
    </xf>
    <xf numFmtId="0" fontId="2" fillId="3"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9" defaultPivotStyle="PivotStyleLight16"/>
  <colors>
    <mruColors>
      <color rgb="FF17324D"/>
      <color rgb="FF159A9C"/>
      <color rgb="FFF4F6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[Sales_Dashboard_Excel_Project_33.xlsx]Pivot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solidFill>
                  <a:schemeClr val="bg1"/>
                </a:solidFill>
                <a:latin typeface="Arial Black" panose="020B0A04020102020204" pitchFamily="34" charset="0"/>
              </a:rPr>
              <a:t>TOTAL</a:t>
            </a:r>
            <a:r>
              <a:rPr lang="en-US" sz="1400" b="1" baseline="0">
                <a:solidFill>
                  <a:schemeClr val="bg1"/>
                </a:solidFill>
                <a:latin typeface="Arial Black" panose="020B0A04020102020204" pitchFamily="34" charset="0"/>
              </a:rPr>
              <a:t> SALES BY STATE</a:t>
            </a:r>
          </a:p>
        </c:rich>
      </c:tx>
      <c:overlay val="0"/>
      <c:spPr>
        <a:solidFill>
          <a:srgbClr val="17324D"/>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159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59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9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c:f>
              <c:strCache>
                <c:ptCount val="1"/>
                <c:pt idx="0">
                  <c:v>Total</c:v>
                </c:pt>
              </c:strCache>
            </c:strRef>
          </c:tx>
          <c:spPr>
            <a:solidFill>
              <a:srgbClr val="159A9C"/>
            </a:solidFill>
            <a:ln>
              <a:noFill/>
            </a:ln>
            <a:effectLst/>
          </c:spPr>
          <c:invertIfNegative val="0"/>
          <c:cat>
            <c:strRef>
              <c:f>'Pivot table'!$E$3:$E$9</c:f>
              <c:strCache>
                <c:ptCount val="6"/>
                <c:pt idx="0">
                  <c:v>Abuja</c:v>
                </c:pt>
                <c:pt idx="1">
                  <c:v>Kano</c:v>
                </c:pt>
                <c:pt idx="2">
                  <c:v>Lagos</c:v>
                </c:pt>
                <c:pt idx="3">
                  <c:v>Ogun</c:v>
                </c:pt>
                <c:pt idx="4">
                  <c:v>Oyo</c:v>
                </c:pt>
                <c:pt idx="5">
                  <c:v>Rivers</c:v>
                </c:pt>
              </c:strCache>
            </c:strRef>
          </c:cat>
          <c:val>
            <c:numRef>
              <c:f>'Pivot table'!$F$3:$F$9</c:f>
              <c:numCache>
                <c:formatCode>[$₦-46A]#,##0</c:formatCode>
                <c:ptCount val="6"/>
                <c:pt idx="0">
                  <c:v>3975000</c:v>
                </c:pt>
                <c:pt idx="1">
                  <c:v>2000000</c:v>
                </c:pt>
                <c:pt idx="2">
                  <c:v>3960000</c:v>
                </c:pt>
                <c:pt idx="3">
                  <c:v>1815000</c:v>
                </c:pt>
                <c:pt idx="4">
                  <c:v>4980000</c:v>
                </c:pt>
                <c:pt idx="5">
                  <c:v>1015000</c:v>
                </c:pt>
              </c:numCache>
            </c:numRef>
          </c:val>
          <c:extLst>
            <c:ext xmlns:c16="http://schemas.microsoft.com/office/drawing/2014/chart" uri="{C3380CC4-5D6E-409C-BE32-E72D297353CC}">
              <c16:uniqueId val="{00000000-66D6-42C0-87CD-E919E71CAA45}"/>
            </c:ext>
          </c:extLst>
        </c:ser>
        <c:dLbls>
          <c:showLegendKey val="0"/>
          <c:showVal val="0"/>
          <c:showCatName val="0"/>
          <c:showSerName val="0"/>
          <c:showPercent val="0"/>
          <c:showBubbleSize val="0"/>
        </c:dLbls>
        <c:gapWidth val="219"/>
        <c:overlap val="-27"/>
        <c:axId val="399444304"/>
        <c:axId val="409429856"/>
      </c:barChart>
      <c:catAx>
        <c:axId val="39944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429856"/>
        <c:crosses val="autoZero"/>
        <c:auto val="1"/>
        <c:lblAlgn val="ctr"/>
        <c:lblOffset val="100"/>
        <c:noMultiLvlLbl val="0"/>
      </c:catAx>
      <c:valAx>
        <c:axId val="409429856"/>
        <c:scaling>
          <c:orientation val="minMax"/>
        </c:scaling>
        <c:delete val="1"/>
        <c:axPos val="l"/>
        <c:numFmt formatCode="[$₦-46A]#,##0" sourceLinked="1"/>
        <c:majorTickMark val="none"/>
        <c:minorTickMark val="none"/>
        <c:tickLblPos val="nextTo"/>
        <c:crossAx val="39944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[Sales_Dashboard_Excel_Project_33.xlsx]Pivot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Arial Black" panose="020B0A04020102020204" pitchFamily="34" charset="0"/>
              </a:rPr>
              <a:t>TOTAL</a:t>
            </a:r>
            <a:r>
              <a:rPr lang="en-US" b="1" baseline="0">
                <a:solidFill>
                  <a:schemeClr val="bg1"/>
                </a:solidFill>
                <a:latin typeface="Arial Black" panose="020B0A04020102020204" pitchFamily="34" charset="0"/>
              </a:rPr>
              <a:t> SALES BY SALES REPS</a:t>
            </a:r>
          </a:p>
        </c:rich>
      </c:tx>
      <c:layout>
        <c:manualLayout>
          <c:xMode val="edge"/>
          <c:yMode val="edge"/>
          <c:x val="0.18162489063867016"/>
          <c:y val="2.7777777777777776E-2"/>
        </c:manualLayout>
      </c:layout>
      <c:overlay val="0"/>
      <c:spPr>
        <a:solidFill>
          <a:srgbClr val="17324D"/>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159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59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9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rgbClr val="159A9C"/>
            </a:solidFill>
            <a:ln>
              <a:noFill/>
            </a:ln>
            <a:effectLst/>
          </c:spPr>
          <c:invertIfNegative val="0"/>
          <c:cat>
            <c:strRef>
              <c:f>'Pivot table'!$A$13:$A$19</c:f>
              <c:strCache>
                <c:ptCount val="6"/>
                <c:pt idx="0">
                  <c:v>Adewale Grace</c:v>
                </c:pt>
                <c:pt idx="1">
                  <c:v>Aisha</c:v>
                </c:pt>
                <c:pt idx="2">
                  <c:v>Daniel</c:v>
                </c:pt>
                <c:pt idx="3">
                  <c:v>David</c:v>
                </c:pt>
                <c:pt idx="4">
                  <c:v>Mary</c:v>
                </c:pt>
                <c:pt idx="5">
                  <c:v>Usman</c:v>
                </c:pt>
              </c:strCache>
            </c:strRef>
          </c:cat>
          <c:val>
            <c:numRef>
              <c:f>'Pivot table'!$B$13:$B$19</c:f>
              <c:numCache>
                <c:formatCode>[$₦-46A]#,##0</c:formatCode>
                <c:ptCount val="6"/>
                <c:pt idx="0">
                  <c:v>2455000</c:v>
                </c:pt>
                <c:pt idx="1">
                  <c:v>1655000</c:v>
                </c:pt>
                <c:pt idx="2">
                  <c:v>3985000</c:v>
                </c:pt>
                <c:pt idx="3">
                  <c:v>3785000</c:v>
                </c:pt>
                <c:pt idx="4">
                  <c:v>2435000</c:v>
                </c:pt>
                <c:pt idx="5">
                  <c:v>3430000</c:v>
                </c:pt>
              </c:numCache>
            </c:numRef>
          </c:val>
          <c:extLst>
            <c:ext xmlns:c16="http://schemas.microsoft.com/office/drawing/2014/chart" uri="{C3380CC4-5D6E-409C-BE32-E72D297353CC}">
              <c16:uniqueId val="{00000000-F4A8-46B7-8849-9515E117D999}"/>
            </c:ext>
          </c:extLst>
        </c:ser>
        <c:dLbls>
          <c:showLegendKey val="0"/>
          <c:showVal val="0"/>
          <c:showCatName val="0"/>
          <c:showSerName val="0"/>
          <c:showPercent val="0"/>
          <c:showBubbleSize val="0"/>
        </c:dLbls>
        <c:gapWidth val="182"/>
        <c:axId val="399448944"/>
        <c:axId val="330434752"/>
      </c:barChart>
      <c:catAx>
        <c:axId val="399448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34752"/>
        <c:crosses val="autoZero"/>
        <c:auto val="1"/>
        <c:lblAlgn val="ctr"/>
        <c:lblOffset val="100"/>
        <c:noMultiLvlLbl val="0"/>
      </c:catAx>
      <c:valAx>
        <c:axId val="330434752"/>
        <c:scaling>
          <c:orientation val="minMax"/>
        </c:scaling>
        <c:delete val="0"/>
        <c:axPos val="b"/>
        <c:numFmt formatCode="[$₦-46A]#,##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4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[Sales_Dashboard_Excel_Project_33.xlsx]Pivot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Arial Black" panose="020B0A04020102020204" pitchFamily="34" charset="0"/>
              </a:rPr>
              <a:t>QUANTITY BY CATEGORY</a:t>
            </a:r>
          </a:p>
        </c:rich>
      </c:tx>
      <c:layout>
        <c:manualLayout>
          <c:xMode val="edge"/>
          <c:yMode val="edge"/>
          <c:x val="0.17262489063867018"/>
          <c:y val="3.138670166229221E-2"/>
        </c:manualLayout>
      </c:layout>
      <c:overlay val="0"/>
      <c:spPr>
        <a:solidFill>
          <a:srgbClr val="17324D"/>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pivotFmt>
      <c:pivotFmt>
        <c:idx val="2"/>
        <c:spPr>
          <a:solidFill>
            <a:srgbClr val="0070C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00B0F0"/>
          </a:solidFill>
          <a:ln w="19050">
            <a:solidFill>
              <a:schemeClr val="lt1"/>
            </a:solidFill>
          </a:ln>
          <a:effectLst/>
        </c:spPr>
      </c:pivotFmt>
      <c:pivotFmt>
        <c:idx val="6"/>
        <c:spPr>
          <a:solidFill>
            <a:srgbClr val="0070C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rgbClr val="00B0F0"/>
          </a:solidFill>
          <a:ln w="19050">
            <a:solidFill>
              <a:schemeClr val="lt1"/>
            </a:solidFill>
          </a:ln>
          <a:effectLst/>
        </c:spPr>
      </c:pivotFmt>
      <c:pivotFmt>
        <c:idx val="10"/>
        <c:spPr>
          <a:solidFill>
            <a:srgbClr val="0070C0"/>
          </a:solidFill>
          <a:ln w="19050">
            <a:solidFill>
              <a:schemeClr val="lt1"/>
            </a:solidFill>
          </a:ln>
          <a:effectLst/>
        </c:spPr>
      </c:pivotFmt>
    </c:pivotFmts>
    <c:plotArea>
      <c:layout/>
      <c:barChart>
        <c:barDir val="bar"/>
        <c:grouping val="clustered"/>
        <c:varyColors val="0"/>
        <c:ser>
          <c:idx val="0"/>
          <c:order val="0"/>
          <c:tx>
            <c:strRef>
              <c:f>'Pivot table'!$F$12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97B3-4012-A140-6AEFA670CA70}"/>
              </c:ext>
            </c:extLst>
          </c:dPt>
          <c:dPt>
            <c:idx val="1"/>
            <c:invertIfNegative val="0"/>
            <c:bubble3D val="0"/>
            <c:spPr>
              <a:solidFill>
                <a:srgbClr val="00B0F0"/>
              </a:solidFill>
              <a:ln w="19050">
                <a:solidFill>
                  <a:schemeClr val="lt1"/>
                </a:solidFill>
              </a:ln>
              <a:effectLst/>
            </c:spPr>
            <c:extLst>
              <c:ext xmlns:c16="http://schemas.microsoft.com/office/drawing/2014/chart" uri="{C3380CC4-5D6E-409C-BE32-E72D297353CC}">
                <c16:uniqueId val="{00000003-97B3-4012-A140-6AEFA670CA70}"/>
              </c:ext>
            </c:extLst>
          </c:dPt>
          <c:dPt>
            <c:idx val="2"/>
            <c:invertIfNegative val="0"/>
            <c:bubble3D val="0"/>
            <c:spPr>
              <a:solidFill>
                <a:srgbClr val="0070C0"/>
              </a:solidFill>
              <a:ln w="19050">
                <a:solidFill>
                  <a:schemeClr val="lt1"/>
                </a:solidFill>
              </a:ln>
              <a:effectLst/>
            </c:spPr>
            <c:extLst>
              <c:ext xmlns:c16="http://schemas.microsoft.com/office/drawing/2014/chart" uri="{C3380CC4-5D6E-409C-BE32-E72D297353CC}">
                <c16:uniqueId val="{00000005-97B3-4012-A140-6AEFA670CA70}"/>
              </c:ext>
            </c:extLst>
          </c:dPt>
          <c:cat>
            <c:strRef>
              <c:f>'Pivot table'!$E$13:$E$16</c:f>
              <c:strCache>
                <c:ptCount val="3"/>
                <c:pt idx="0">
                  <c:v>Electronics</c:v>
                </c:pt>
                <c:pt idx="1">
                  <c:v>Fashion</c:v>
                </c:pt>
                <c:pt idx="2">
                  <c:v>Groceries</c:v>
                </c:pt>
              </c:strCache>
            </c:strRef>
          </c:cat>
          <c:val>
            <c:numRef>
              <c:f>'Pivot table'!$F$13:$F$16</c:f>
              <c:numCache>
                <c:formatCode>General</c:formatCode>
                <c:ptCount val="3"/>
                <c:pt idx="0">
                  <c:v>185</c:v>
                </c:pt>
                <c:pt idx="1">
                  <c:v>181</c:v>
                </c:pt>
                <c:pt idx="2">
                  <c:v>175</c:v>
                </c:pt>
              </c:numCache>
            </c:numRef>
          </c:val>
          <c:extLst>
            <c:ext xmlns:c16="http://schemas.microsoft.com/office/drawing/2014/chart" uri="{C3380CC4-5D6E-409C-BE32-E72D297353CC}">
              <c16:uniqueId val="{00000006-97B3-4012-A140-6AEFA670CA70}"/>
            </c:ext>
          </c:extLst>
        </c:ser>
        <c:dLbls>
          <c:showLegendKey val="0"/>
          <c:showVal val="0"/>
          <c:showCatName val="0"/>
          <c:showSerName val="0"/>
          <c:showPercent val="0"/>
          <c:showBubbleSize val="0"/>
        </c:dLbls>
        <c:gapWidth val="100"/>
        <c:axId val="1453494048"/>
        <c:axId val="1460765184"/>
      </c:barChart>
      <c:catAx>
        <c:axId val="1453494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765184"/>
        <c:crosses val="autoZero"/>
        <c:auto val="1"/>
        <c:lblAlgn val="ctr"/>
        <c:lblOffset val="100"/>
        <c:noMultiLvlLbl val="0"/>
      </c:catAx>
      <c:valAx>
        <c:axId val="1460765184"/>
        <c:scaling>
          <c:orientation val="minMax"/>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49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243840</xdr:colOff>
      <xdr:row>2</xdr:row>
      <xdr:rowOff>45720</xdr:rowOff>
    </xdr:from>
    <xdr:to>
      <xdr:col>7</xdr:col>
      <xdr:colOff>464820</xdr:colOff>
      <xdr:row>16</xdr:row>
      <xdr:rowOff>167640</xdr:rowOff>
    </xdr:to>
    <xdr:graphicFrame macro="">
      <xdr:nvGraphicFramePr>
        <xdr:cNvPr id="2" name="Chart 1">
          <a:extLst>
            <a:ext uri="{FF2B5EF4-FFF2-40B4-BE49-F238E27FC236}">
              <a16:creationId xmlns:a16="http://schemas.microsoft.com/office/drawing/2014/main" id="{D810E3B0-55FC-4ECB-80A4-3E89D4730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2</xdr:row>
      <xdr:rowOff>38100</xdr:rowOff>
    </xdr:from>
    <xdr:to>
      <xdr:col>15</xdr:col>
      <xdr:colOff>335280</xdr:colOff>
      <xdr:row>16</xdr:row>
      <xdr:rowOff>175260</xdr:rowOff>
    </xdr:to>
    <xdr:graphicFrame macro="">
      <xdr:nvGraphicFramePr>
        <xdr:cNvPr id="3" name="Chart 2">
          <a:extLst>
            <a:ext uri="{FF2B5EF4-FFF2-40B4-BE49-F238E27FC236}">
              <a16:creationId xmlns:a16="http://schemas.microsoft.com/office/drawing/2014/main" id="{ACE6396A-5505-4127-8EE2-08BC9855B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17</xdr:row>
      <xdr:rowOff>137160</xdr:rowOff>
    </xdr:from>
    <xdr:to>
      <xdr:col>11</xdr:col>
      <xdr:colOff>388620</xdr:colOff>
      <xdr:row>32</xdr:row>
      <xdr:rowOff>91440</xdr:rowOff>
    </xdr:to>
    <xdr:graphicFrame macro="">
      <xdr:nvGraphicFramePr>
        <xdr:cNvPr id="4" name="Chart 3">
          <a:extLst>
            <a:ext uri="{FF2B5EF4-FFF2-40B4-BE49-F238E27FC236}">
              <a16:creationId xmlns:a16="http://schemas.microsoft.com/office/drawing/2014/main" id="{1674311C-1C4E-4E7C-BB9F-815EC46A1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7620</xdr:colOff>
      <xdr:row>2</xdr:row>
      <xdr:rowOff>15240</xdr:rowOff>
    </xdr:from>
    <xdr:to>
      <xdr:col>19</xdr:col>
      <xdr:colOff>7620</xdr:colOff>
      <xdr:row>15</xdr:row>
      <xdr:rowOff>104775</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6637469B-D91F-450D-8382-02423C3CBC5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761220" y="381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nekan Grace" refreshedDate="46290.632759143518" createdVersion="8" refreshedVersion="8" minRefreshableVersion="3" recordCount="60" xr:uid="{2C8868F5-694A-4313-94ED-59F56D12A2EF}">
  <cacheSource type="worksheet">
    <worksheetSource ref="A1:I61" sheet="Clean Sales_Data"/>
  </cacheSource>
  <cacheFields count="12">
    <cacheField name="Date" numFmtId="164">
      <sharedItems containsSemiMixedTypes="0" containsNonDate="0" containsDate="1" containsString="0" minDate="2026-01-03T00:00:00" maxDate="2026-06-29T00:00:00" count="50">
        <d v="2026-03-27T00:00:00"/>
        <d v="2026-05-07T00:00:00"/>
        <d v="2026-01-03T00:00:00"/>
        <d v="2026-01-19T00:00:00"/>
        <d v="2026-03-23T00:00:00"/>
        <d v="2026-02-26T00:00:00"/>
        <d v="2026-02-15T00:00:00"/>
        <d v="2026-05-10T00:00:00"/>
        <d v="2026-03-20T00:00:00"/>
        <d v="2026-03-14T00:00:00"/>
        <d v="2026-01-12T00:00:00"/>
        <d v="2026-06-15T00:00:00"/>
        <d v="2026-02-14T00:00:00"/>
        <d v="2026-04-04T00:00:00"/>
        <d v="2026-05-05T00:00:00"/>
        <d v="2026-01-22T00:00:00"/>
        <d v="2026-04-18T00:00:00"/>
        <d v="2026-03-21T00:00:00"/>
        <d v="2026-05-01T00:00:00"/>
        <d v="2026-06-08T00:00:00"/>
        <d v="2026-03-10T00:00:00"/>
        <d v="2026-01-17T00:00:00"/>
        <d v="2026-02-03T00:00:00"/>
        <d v="2026-01-04T00:00:00"/>
        <d v="2026-03-15T00:00:00"/>
        <d v="2026-06-05T00:00:00"/>
        <d v="2026-04-21T00:00:00"/>
        <d v="2026-01-13T00:00:00"/>
        <d v="2026-06-10T00:00:00"/>
        <d v="2026-01-26T00:00:00"/>
        <d v="2026-02-04T00:00:00"/>
        <d v="2026-01-09T00:00:00"/>
        <d v="2026-01-29T00:00:00"/>
        <d v="2026-06-25T00:00:00"/>
        <d v="2026-01-21T00:00:00"/>
        <d v="2026-04-27T00:00:00"/>
        <d v="2026-02-11T00:00:00"/>
        <d v="2026-04-11T00:00:00"/>
        <d v="2026-03-04T00:00:00"/>
        <d v="2026-04-12T00:00:00"/>
        <d v="2026-01-16T00:00:00"/>
        <d v="2026-02-10T00:00:00"/>
        <d v="2026-04-05T00:00:00"/>
        <d v="2026-06-24T00:00:00"/>
        <d v="2026-04-26T00:00:00"/>
        <d v="2026-06-16T00:00:00"/>
        <d v="2026-06-28T00:00:00"/>
        <d v="2026-01-31T00:00:00"/>
        <d v="2026-05-16T00:00:00"/>
        <d v="2026-05-14T00:00:00"/>
      </sharedItems>
      <fieldGroup par="11"/>
    </cacheField>
    <cacheField name="State" numFmtId="0">
      <sharedItems/>
    </cacheField>
    <cacheField name="Product_Category" numFmtId="0">
      <sharedItems/>
    </cacheField>
    <cacheField name="Product_Name" numFmtId="0">
      <sharedItems/>
    </cacheField>
    <cacheField name="Sales_Rep" numFmtId="0">
      <sharedItems/>
    </cacheField>
    <cacheField name="Quantity" numFmtId="0">
      <sharedItems containsSemiMixedTypes="0" containsString="0" containsNumber="1" containsInteger="1" minValue="1" maxValue="20"/>
    </cacheField>
    <cacheField name="Unit_Price" numFmtId="165">
      <sharedItems containsSemiMixedTypes="0" containsString="0" containsNumber="1" containsInteger="1" minValue="5000" maxValue="75000"/>
    </cacheField>
    <cacheField name="Total_Sales" numFmtId="165">
      <sharedItems containsSemiMixedTypes="0" containsString="0" containsNumber="1" containsInteger="1" minValue="5000" maxValue="1350000"/>
    </cacheField>
    <cacheField name="Sales Category" numFmtId="0">
      <sharedItems/>
    </cacheField>
    <cacheField name="Clean State" numFmtId="0">
      <sharedItems/>
    </cacheField>
    <cacheField name="Clean Product_Category" numFmtId="0">
      <sharedItems/>
    </cacheField>
    <cacheField name="Months (Date)" numFmtId="0" databaseField="0">
      <fieldGroup base="0">
        <rangePr groupBy="months" startDate="2026-01-03T00:00:00" endDate="2026-06-29T00:00:00"/>
        <groupItems count="14">
          <s v="&lt;1/3/2026"/>
          <s v="Jan"/>
          <s v="Feb"/>
          <s v="Mar"/>
          <s v="Apr"/>
          <s v="May"/>
          <s v="Jun"/>
          <s v="Jul"/>
          <s v="Aug"/>
          <s v="Sep"/>
          <s v="Oct"/>
          <s v="Nov"/>
          <s v="Dec"/>
          <s v="&gt;6/29/2026"/>
        </groupItems>
      </fieldGroup>
    </cacheField>
  </cacheFields>
  <extLst>
    <ext xmlns:x14="http://schemas.microsoft.com/office/spreadsheetml/2009/9/main" uri="{725AE2AE-9491-48be-B2B4-4EB974FC3084}">
      <x14:pivotCacheDefinition pivotCacheId="6780292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nekan Grace" refreshedDate="46290.663470949075" createdVersion="8" refreshedVersion="8" minRefreshableVersion="3" recordCount="60" xr:uid="{391D403B-F6C1-43C5-AB88-1539D127670D}">
  <cacheSource type="worksheet">
    <worksheetSource ref="A1:J61" sheet="Clean Sales_Data"/>
  </cacheSource>
  <cacheFields count="12">
    <cacheField name="Date" numFmtId="164">
      <sharedItems containsSemiMixedTypes="0" containsNonDate="0" containsDate="1" containsString="0" minDate="2026-01-03T00:00:00" maxDate="2026-06-29T00:00:00" count="50">
        <d v="2026-03-27T00:00:00"/>
        <d v="2026-05-07T00:00:00"/>
        <d v="2026-01-03T00:00:00"/>
        <d v="2026-01-19T00:00:00"/>
        <d v="2026-03-23T00:00:00"/>
        <d v="2026-02-26T00:00:00"/>
        <d v="2026-02-15T00:00:00"/>
        <d v="2026-05-10T00:00:00"/>
        <d v="2026-03-20T00:00:00"/>
        <d v="2026-03-14T00:00:00"/>
        <d v="2026-01-12T00:00:00"/>
        <d v="2026-06-15T00:00:00"/>
        <d v="2026-02-14T00:00:00"/>
        <d v="2026-04-04T00:00:00"/>
        <d v="2026-05-05T00:00:00"/>
        <d v="2026-01-22T00:00:00"/>
        <d v="2026-04-18T00:00:00"/>
        <d v="2026-03-21T00:00:00"/>
        <d v="2026-05-01T00:00:00"/>
        <d v="2026-06-08T00:00:00"/>
        <d v="2026-03-10T00:00:00"/>
        <d v="2026-01-17T00:00:00"/>
        <d v="2026-02-03T00:00:00"/>
        <d v="2026-01-04T00:00:00"/>
        <d v="2026-03-15T00:00:00"/>
        <d v="2026-06-05T00:00:00"/>
        <d v="2026-04-21T00:00:00"/>
        <d v="2026-01-13T00:00:00"/>
        <d v="2026-06-10T00:00:00"/>
        <d v="2026-01-26T00:00:00"/>
        <d v="2026-02-04T00:00:00"/>
        <d v="2026-01-09T00:00:00"/>
        <d v="2026-01-29T00:00:00"/>
        <d v="2026-06-25T00:00:00"/>
        <d v="2026-01-21T00:00:00"/>
        <d v="2026-04-27T00:00:00"/>
        <d v="2026-02-11T00:00:00"/>
        <d v="2026-04-11T00:00:00"/>
        <d v="2026-03-04T00:00:00"/>
        <d v="2026-04-12T00:00:00"/>
        <d v="2026-01-16T00:00:00"/>
        <d v="2026-02-10T00:00:00"/>
        <d v="2026-04-05T00:00:00"/>
        <d v="2026-06-24T00:00:00"/>
        <d v="2026-04-26T00:00:00"/>
        <d v="2026-06-16T00:00:00"/>
        <d v="2026-06-28T00:00:00"/>
        <d v="2026-01-31T00:00:00"/>
        <d v="2026-05-16T00:00:00"/>
        <d v="2026-05-14T00:00:00"/>
      </sharedItems>
      <fieldGroup par="11"/>
    </cacheField>
    <cacheField name="Clean State" numFmtId="0">
      <sharedItems count="6">
        <s v="Kano"/>
        <s v="Oyo"/>
        <s v="Lagos"/>
        <s v="Ogun"/>
        <s v="Rivers"/>
        <s v="Abuja"/>
      </sharedItems>
    </cacheField>
    <cacheField name="Clean Product_Category" numFmtId="0">
      <sharedItems count="3">
        <s v="Groceries"/>
        <s v="Electronics"/>
        <s v="Fashion"/>
      </sharedItems>
    </cacheField>
    <cacheField name="Product_Name" numFmtId="0">
      <sharedItems/>
    </cacheField>
    <cacheField name="Sales_Rep" numFmtId="0">
      <sharedItems count="6">
        <s v="Adewale Grace"/>
        <s v="Mary"/>
        <s v="Daniel"/>
        <s v="Usman"/>
        <s v="David"/>
        <s v="Aisha"/>
      </sharedItems>
    </cacheField>
    <cacheField name="Quantity" numFmtId="0">
      <sharedItems containsSemiMixedTypes="0" containsString="0" containsNumber="1" containsInteger="1" minValue="1" maxValue="20"/>
    </cacheField>
    <cacheField name="Unit_Price" numFmtId="165">
      <sharedItems containsSemiMixedTypes="0" containsString="0" containsNumber="1" containsInteger="1" minValue="5000" maxValue="75000"/>
    </cacheField>
    <cacheField name="Total_Sales" numFmtId="165">
      <sharedItems containsSemiMixedTypes="0" containsString="0" containsNumber="1" containsInteger="1" minValue="5000" maxValue="1350000" count="42">
        <n v="225000"/>
        <n v="240000"/>
        <n v="1350000"/>
        <n v="100000"/>
        <n v="200000"/>
        <n v="190000"/>
        <n v="5000"/>
        <n v="15000"/>
        <n v="500000"/>
        <n v="50000"/>
        <n v="150000"/>
        <n v="675000"/>
        <n v="275000"/>
        <n v="85000"/>
        <n v="300000"/>
        <n v="20000"/>
        <n v="160000"/>
        <n v="650000"/>
        <n v="180000"/>
        <n v="525000"/>
        <n v="40000"/>
        <n v="1125000"/>
        <n v="375000"/>
        <n v="55000"/>
        <n v="45000"/>
        <n v="750000"/>
        <n v="1000000"/>
        <n v="425000"/>
        <n v="350000"/>
        <n v="700000"/>
        <n v="90000"/>
        <n v="30000"/>
        <n v="1050000"/>
        <n v="125000"/>
        <n v="75000"/>
        <n v="600000"/>
        <n v="250000"/>
        <n v="10000"/>
        <n v="110000"/>
        <n v="135000"/>
        <n v="800000"/>
        <n v="550000"/>
      </sharedItems>
    </cacheField>
    <cacheField name="Sales Category" numFmtId="0">
      <sharedItems count="2">
        <s v="High Sales"/>
        <s v="Low Sales"/>
      </sharedItems>
    </cacheField>
    <cacheField name="Email" numFmtId="0">
      <sharedItems/>
    </cacheField>
    <cacheField name="Days (Date)" numFmtId="0" databaseField="0">
      <fieldGroup base="0">
        <rangePr groupBy="days" startDate="2026-01-03T00:00:00" endDate="2026-06-29T00:00:00"/>
        <groupItems count="368">
          <s v="&lt;1/3/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9/2026"/>
        </groupItems>
      </fieldGroup>
    </cacheField>
    <cacheField name="Months (Date)" numFmtId="0" databaseField="0">
      <fieldGroup base="0">
        <rangePr groupBy="months" startDate="2026-01-03T00:00:00" endDate="2026-06-29T00:00:00"/>
        <groupItems count="14">
          <s v="&lt;1/3/2026"/>
          <s v="Jan"/>
          <s v="Feb"/>
          <s v="Mar"/>
          <s v="Apr"/>
          <s v="May"/>
          <s v="Jun"/>
          <s v="Jul"/>
          <s v="Aug"/>
          <s v="Sep"/>
          <s v="Oct"/>
          <s v="Nov"/>
          <s v="Dec"/>
          <s v="&gt;6/29/2026"/>
        </groupItems>
      </fieldGroup>
    </cacheField>
  </cacheFields>
  <extLst>
    <ext xmlns:x14="http://schemas.microsoft.com/office/spreadsheetml/2009/9/main" uri="{725AE2AE-9491-48be-B2B4-4EB974FC3084}">
      <x14:pivotCacheDefinition pivotCacheId="1945346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kAnO"/>
    <s v="gRoCeRiEs"/>
    <s v="Rice"/>
    <s v="Adewale Grace"/>
    <n v="15"/>
    <n v="15000"/>
    <n v="225000"/>
    <s v="High Sales"/>
    <s v="Kano"/>
    <s v="Groceries"/>
  </r>
  <r>
    <x v="1"/>
    <s v="Oyo"/>
    <s v="gRoCeRiEs"/>
    <s v="Sugar"/>
    <s v="Mary"/>
    <n v="16"/>
    <n v="15000"/>
    <n v="240000"/>
    <s v="High Sales"/>
    <s v="Oyo"/>
    <s v="Groceries"/>
  </r>
  <r>
    <x v="2"/>
    <s v="Lagos"/>
    <s v="Electronics"/>
    <s v="Laptop"/>
    <s v="Daniel"/>
    <n v="18"/>
    <n v="75000"/>
    <n v="1350000"/>
    <s v="High Sales"/>
    <s v="Lagos"/>
    <s v="Electronics"/>
  </r>
  <r>
    <x v="3"/>
    <s v="kAnO"/>
    <s v="Electronics"/>
    <s v="Power Bank"/>
    <s v="Usman"/>
    <n v="10"/>
    <n v="10000"/>
    <n v="100000"/>
    <s v="High Sales"/>
    <s v="Kano"/>
    <s v="Electronics"/>
  </r>
  <r>
    <x v="4"/>
    <s v="Oyo"/>
    <s v="Fashion"/>
    <s v="Bag"/>
    <s v="Usman"/>
    <n v="8"/>
    <n v="25000"/>
    <n v="200000"/>
    <s v="High Sales"/>
    <s v="Oyo"/>
    <s v="Fashion"/>
  </r>
  <r>
    <x v="5"/>
    <s v="OGuN"/>
    <s v="Electronics"/>
    <s v="Phone"/>
    <s v="David"/>
    <n v="19"/>
    <n v="10000"/>
    <n v="190000"/>
    <s v="High Sales"/>
    <s v="Ogun"/>
    <s v="Electronics"/>
  </r>
  <r>
    <x v="6"/>
    <s v="kAnO"/>
    <s v="Electronics"/>
    <s v="Power Bank"/>
    <s v="Aisha"/>
    <n v="1"/>
    <n v="5000"/>
    <n v="5000"/>
    <s v="Low Sales"/>
    <s v="Kano"/>
    <s v="Electronics"/>
  </r>
  <r>
    <x v="7"/>
    <s v="Rivers"/>
    <s v="Electronics"/>
    <s v="Power Bank"/>
    <s v="Daniel"/>
    <n v="1"/>
    <n v="5000"/>
    <n v="5000"/>
    <s v="Low Sales"/>
    <s v="Rivers"/>
    <s v="Electronics"/>
  </r>
  <r>
    <x v="8"/>
    <s v="kAnO"/>
    <s v="gRoCeRiEs"/>
    <s v="Sugar"/>
    <s v="David"/>
    <n v="3"/>
    <n v="5000"/>
    <n v="15000"/>
    <s v="Low Sales"/>
    <s v="Kano"/>
    <s v="Groceries"/>
  </r>
  <r>
    <x v="9"/>
    <s v="Lagos"/>
    <s v="Fashion"/>
    <s v="Bag"/>
    <s v="David"/>
    <n v="10"/>
    <n v="50000"/>
    <n v="500000"/>
    <s v="High Sales"/>
    <s v="Lagos"/>
    <s v="Fashion"/>
  </r>
  <r>
    <x v="10"/>
    <s v="Abuja"/>
    <s v="gRoCeRiEs"/>
    <s v="Milk"/>
    <s v="Aisha"/>
    <n v="5"/>
    <n v="10000"/>
    <n v="50000"/>
    <s v="Low Sales"/>
    <s v="Abuja"/>
    <s v="Groceries"/>
  </r>
  <r>
    <x v="11"/>
    <s v="OGuN"/>
    <s v="Fashion"/>
    <s v="T-Shirt"/>
    <s v="Daniel"/>
    <n v="2"/>
    <n v="75000"/>
    <n v="150000"/>
    <s v="High Sales"/>
    <s v="Ogun"/>
    <s v="Fashion"/>
  </r>
  <r>
    <x v="12"/>
    <s v="Rivers"/>
    <s v="Electronics"/>
    <s v="Laptop"/>
    <s v="Adewale Grace"/>
    <n v="9"/>
    <n v="25000"/>
    <n v="225000"/>
    <s v="High Sales"/>
    <s v="Rivers"/>
    <s v="Electronics"/>
  </r>
  <r>
    <x v="13"/>
    <s v="Oyo"/>
    <s v="Fashion"/>
    <s v="Bag"/>
    <s v="Aisha"/>
    <n v="9"/>
    <n v="75000"/>
    <n v="675000"/>
    <s v="High Sales"/>
    <s v="Oyo"/>
    <s v="Fashion"/>
  </r>
  <r>
    <x v="14"/>
    <s v="Oyo"/>
    <s v="Fashion"/>
    <s v="Bag"/>
    <s v="David"/>
    <n v="11"/>
    <n v="25000"/>
    <n v="275000"/>
    <s v="High Sales"/>
    <s v="Oyo"/>
    <s v="Fashion"/>
  </r>
  <r>
    <x v="15"/>
    <s v="kAnO"/>
    <s v="gRoCeRiEs"/>
    <s v="Milk"/>
    <s v="David"/>
    <n v="17"/>
    <n v="5000"/>
    <n v="85000"/>
    <s v="Low Sales"/>
    <s v="Kano"/>
    <s v="Groceries"/>
  </r>
  <r>
    <x v="16"/>
    <s v="OGuN"/>
    <s v="gRoCeRiEs"/>
    <s v="Sugar"/>
    <s v="Daniel"/>
    <n v="20"/>
    <n v="15000"/>
    <n v="300000"/>
    <s v="High Sales"/>
    <s v="Ogun"/>
    <s v="Groceries"/>
  </r>
  <r>
    <x v="17"/>
    <s v="Abuja"/>
    <s v="Electronics"/>
    <s v="Laptop"/>
    <s v="Aisha"/>
    <n v="4"/>
    <n v="5000"/>
    <n v="20000"/>
    <s v="Low Sales"/>
    <s v="Abuja"/>
    <s v="Electronics"/>
  </r>
  <r>
    <x v="18"/>
    <s v="kAnO"/>
    <s v="Fashion"/>
    <s v="T-Shirt"/>
    <s v="Daniel"/>
    <n v="4"/>
    <n v="50000"/>
    <n v="200000"/>
    <s v="High Sales"/>
    <s v="Kano"/>
    <s v="Fashion"/>
  </r>
  <r>
    <x v="19"/>
    <s v="Rivers"/>
    <s v="gRoCeRiEs"/>
    <s v="Sugar"/>
    <s v="Usman"/>
    <n v="16"/>
    <n v="10000"/>
    <n v="160000"/>
    <s v="High Sales"/>
    <s v="Rivers"/>
    <s v="Groceries"/>
  </r>
  <r>
    <x v="20"/>
    <s v="OGuN"/>
    <s v="gRoCeRiEs"/>
    <s v="Sugar"/>
    <s v="Usman"/>
    <n v="13"/>
    <n v="50000"/>
    <n v="650000"/>
    <s v="High Sales"/>
    <s v="Ogun"/>
    <s v="Groceries"/>
  </r>
  <r>
    <x v="21"/>
    <s v="Abuja"/>
    <s v="Fashion"/>
    <s v="Bag"/>
    <s v="Adewale Grace"/>
    <n v="18"/>
    <n v="10000"/>
    <n v="180000"/>
    <s v="High Sales"/>
    <s v="Abuja"/>
    <s v="Fashion"/>
  </r>
  <r>
    <x v="22"/>
    <s v="Rivers"/>
    <s v="gRoCeRiEs"/>
    <s v="Rice"/>
    <s v="Adewale Grace"/>
    <n v="7"/>
    <n v="75000"/>
    <n v="525000"/>
    <s v="High Sales"/>
    <s v="Rivers"/>
    <s v="Groceries"/>
  </r>
  <r>
    <x v="23"/>
    <s v="Lagos"/>
    <s v="gRoCeRiEs"/>
    <s v="Rice"/>
    <s v="Usman"/>
    <n v="3"/>
    <n v="50000"/>
    <n v="150000"/>
    <s v="High Sales"/>
    <s v="Lagos"/>
    <s v="Groceries"/>
  </r>
  <r>
    <x v="24"/>
    <s v="Oyo"/>
    <s v="gRoCeRiEs"/>
    <s v="Sugar"/>
    <s v="Mary"/>
    <n v="4"/>
    <n v="10000"/>
    <n v="40000"/>
    <s v="Low Sales"/>
    <s v="Oyo"/>
    <s v="Groceries"/>
  </r>
  <r>
    <x v="25"/>
    <s v="Abuja"/>
    <s v="Fashion"/>
    <s v="T-Shirt"/>
    <s v="David"/>
    <n v="15"/>
    <n v="75000"/>
    <n v="1125000"/>
    <s v="High Sales"/>
    <s v="Abuja"/>
    <s v="Fashion"/>
  </r>
  <r>
    <x v="26"/>
    <s v="Lagos"/>
    <s v="Electronics"/>
    <s v="Laptop"/>
    <s v="Aisha"/>
    <n v="1"/>
    <n v="50000"/>
    <n v="50000"/>
    <s v="Low Sales"/>
    <s v="Lagos"/>
    <s v="Electronics"/>
  </r>
  <r>
    <x v="27"/>
    <s v="kAnO"/>
    <s v="Electronics"/>
    <s v="Laptop"/>
    <s v="Mary"/>
    <n v="4"/>
    <n v="10000"/>
    <n v="40000"/>
    <s v="Low Sales"/>
    <s v="Kano"/>
    <s v="Electronics"/>
  </r>
  <r>
    <x v="28"/>
    <s v="Oyo"/>
    <s v="Electronics"/>
    <s v="Power Bank"/>
    <s v="Daniel"/>
    <n v="15"/>
    <n v="25000"/>
    <n v="375000"/>
    <s v="High Sales"/>
    <s v="Oyo"/>
    <s v="Electronics"/>
  </r>
  <r>
    <x v="8"/>
    <s v="Rivers"/>
    <s v="gRoCeRiEs"/>
    <s v="Sugar"/>
    <s v="Aisha"/>
    <n v="11"/>
    <n v="5000"/>
    <n v="55000"/>
    <s v="Low Sales"/>
    <s v="Rivers"/>
    <s v="Groceries"/>
  </r>
  <r>
    <x v="7"/>
    <s v="Rivers"/>
    <s v="Electronics"/>
    <s v="Laptop"/>
    <s v="David"/>
    <n v="3"/>
    <n v="15000"/>
    <n v="45000"/>
    <s v="Low Sales"/>
    <s v="Rivers"/>
    <s v="Electronics"/>
  </r>
  <r>
    <x v="29"/>
    <s v="Lagos"/>
    <s v="Fashion"/>
    <s v="T-Shirt"/>
    <s v="David"/>
    <n v="10"/>
    <n v="75000"/>
    <n v="750000"/>
    <s v="High Sales"/>
    <s v="Lagos"/>
    <s v="Fashion"/>
  </r>
  <r>
    <x v="30"/>
    <s v="Oyo"/>
    <s v="Fashion"/>
    <s v="Bag"/>
    <s v="Mary"/>
    <n v="20"/>
    <n v="50000"/>
    <n v="1000000"/>
    <s v="High Sales"/>
    <s v="Oyo"/>
    <s v="Fashion"/>
  </r>
  <r>
    <x v="25"/>
    <s v="Abuja"/>
    <s v="gRoCeRiEs"/>
    <s v="Milk"/>
    <s v="Daniel"/>
    <n v="17"/>
    <n v="25000"/>
    <n v="425000"/>
    <s v="High Sales"/>
    <s v="Abuja"/>
    <s v="Groceries"/>
  </r>
  <r>
    <x v="31"/>
    <s v="OGuN"/>
    <s v="Electronics"/>
    <s v="Phone"/>
    <s v="Aisha"/>
    <n v="11"/>
    <n v="25000"/>
    <n v="275000"/>
    <s v="High Sales"/>
    <s v="Ogun"/>
    <s v="Electronics"/>
  </r>
  <r>
    <x v="32"/>
    <s v="Lagos"/>
    <s v="Electronics"/>
    <s v="Power Bank"/>
    <s v="Daniel"/>
    <n v="7"/>
    <n v="50000"/>
    <n v="350000"/>
    <s v="High Sales"/>
    <s v="Lagos"/>
    <s v="Electronics"/>
  </r>
  <r>
    <x v="33"/>
    <s v="Abuja"/>
    <s v="gRoCeRiEs"/>
    <s v="Sugar"/>
    <s v="Adewale Grace"/>
    <n v="15"/>
    <n v="75000"/>
    <n v="1125000"/>
    <s v="High Sales"/>
    <s v="Abuja"/>
    <s v="Groceries"/>
  </r>
  <r>
    <x v="34"/>
    <s v="Oyo"/>
    <s v="Electronics"/>
    <s v="Laptop"/>
    <s v="David"/>
    <n v="14"/>
    <n v="50000"/>
    <n v="700000"/>
    <s v="High Sales"/>
    <s v="Oyo"/>
    <s v="Electronics"/>
  </r>
  <r>
    <x v="35"/>
    <s v="kAnO"/>
    <s v="Fashion"/>
    <s v="Sneakers"/>
    <s v="Daniel"/>
    <n v="3"/>
    <n v="5000"/>
    <n v="15000"/>
    <s v="Low Sales"/>
    <s v="Kano"/>
    <s v="Fashion"/>
  </r>
  <r>
    <x v="36"/>
    <s v="Oyo"/>
    <s v="Electronics"/>
    <s v="Laptop"/>
    <s v="Usman"/>
    <n v="18"/>
    <n v="5000"/>
    <n v="90000"/>
    <s v="Low Sales"/>
    <s v="Oyo"/>
    <s v="Electronics"/>
  </r>
  <r>
    <x v="37"/>
    <s v="Oyo"/>
    <s v="gRoCeRiEs"/>
    <s v="Sugar"/>
    <s v="Usman"/>
    <n v="2"/>
    <n v="15000"/>
    <n v="30000"/>
    <s v="Low Sales"/>
    <s v="Oyo"/>
    <s v="Groceries"/>
  </r>
  <r>
    <x v="38"/>
    <s v="Oyo"/>
    <s v="Fashion"/>
    <s v="T-Shirt"/>
    <s v="Usman"/>
    <n v="14"/>
    <n v="75000"/>
    <n v="1050000"/>
    <s v="High Sales"/>
    <s v="Oyo"/>
    <s v="Fashion"/>
  </r>
  <r>
    <x v="15"/>
    <s v="OGuN"/>
    <s v="gRoCeRiEs"/>
    <s v="Milk"/>
    <s v="Daniel"/>
    <n v="5"/>
    <n v="25000"/>
    <n v="125000"/>
    <s v="High Sales"/>
    <s v="Ogun"/>
    <s v="Groceries"/>
  </r>
  <r>
    <x v="39"/>
    <s v="OGuN"/>
    <s v="Electronics"/>
    <s v="Power Bank"/>
    <s v="Adewale Grace"/>
    <n v="4"/>
    <n v="10000"/>
    <n v="40000"/>
    <s v="Low Sales"/>
    <s v="Ogun"/>
    <s v="Electronics"/>
  </r>
  <r>
    <x v="40"/>
    <s v="OGuN"/>
    <s v="Electronics"/>
    <s v="Power Bank"/>
    <s v="Usman"/>
    <n v="5"/>
    <n v="15000"/>
    <n v="75000"/>
    <s v="Low Sales"/>
    <s v="Ogun"/>
    <s v="Electronics"/>
  </r>
  <r>
    <x v="41"/>
    <s v="Oyo"/>
    <s v="Electronics"/>
    <s v="Phone"/>
    <s v="Daniel"/>
    <n v="4"/>
    <n v="5000"/>
    <n v="20000"/>
    <s v="Low Sales"/>
    <s v="Oyo"/>
    <s v="Electronics"/>
  </r>
  <r>
    <x v="15"/>
    <s v="Abuja"/>
    <s v="Fashion"/>
    <s v="Bag"/>
    <s v="Mary"/>
    <n v="12"/>
    <n v="50000"/>
    <n v="600000"/>
    <s v="High Sales"/>
    <s v="Abuja"/>
    <s v="Fashion"/>
  </r>
  <r>
    <x v="42"/>
    <s v="Abuja"/>
    <s v="Electronics"/>
    <s v="Power Bank"/>
    <s v="Mary"/>
    <n v="5"/>
    <n v="50000"/>
    <n v="250000"/>
    <s v="High Sales"/>
    <s v="Abuja"/>
    <s v="Electronics"/>
  </r>
  <r>
    <x v="12"/>
    <s v="OGuN"/>
    <s v="gRoCeRiEs"/>
    <s v="Sugar"/>
    <s v="Mary"/>
    <n v="1"/>
    <n v="10000"/>
    <n v="10000"/>
    <s v="Low Sales"/>
    <s v="Ogun"/>
    <s v="Groceries"/>
  </r>
  <r>
    <x v="43"/>
    <s v="kAnO"/>
    <s v="Fashion"/>
    <s v="Sneakers"/>
    <s v="Mary"/>
    <n v="12"/>
    <n v="15000"/>
    <n v="180000"/>
    <s v="High Sales"/>
    <s v="Kano"/>
    <s v="Fashion"/>
  </r>
  <r>
    <x v="44"/>
    <s v="kAnO"/>
    <s v="Electronics"/>
    <s v="Phone"/>
    <s v="Daniel"/>
    <n v="11"/>
    <n v="10000"/>
    <n v="110000"/>
    <s v="High Sales"/>
    <s v="Kano"/>
    <s v="Electronics"/>
  </r>
  <r>
    <x v="35"/>
    <s v="kAnO"/>
    <s v="Fashion"/>
    <s v="T-Shirt"/>
    <s v="David"/>
    <n v="2"/>
    <n v="50000"/>
    <n v="100000"/>
    <s v="High Sales"/>
    <s v="Kano"/>
    <s v="Fashion"/>
  </r>
  <r>
    <x v="25"/>
    <s v="Oyo"/>
    <s v="Fashion"/>
    <s v="Bag"/>
    <s v="Adewale Grace"/>
    <n v="9"/>
    <n v="15000"/>
    <n v="135000"/>
    <s v="High Sales"/>
    <s v="Oyo"/>
    <s v="Fashion"/>
  </r>
  <r>
    <x v="45"/>
    <s v="Lagos"/>
    <s v="Electronics"/>
    <s v="Laptop"/>
    <s v="Usman"/>
    <n v="16"/>
    <n v="50000"/>
    <n v="800000"/>
    <s v="High Sales"/>
    <s v="Lagos"/>
    <s v="Electronics"/>
  </r>
  <r>
    <x v="46"/>
    <s v="Abuja"/>
    <s v="Electronics"/>
    <s v="Laptop"/>
    <s v="Usman"/>
    <n v="5"/>
    <n v="25000"/>
    <n v="125000"/>
    <s v="High Sales"/>
    <s v="Abuja"/>
    <s v="Electronics"/>
  </r>
  <r>
    <x v="47"/>
    <s v="kAnO"/>
    <s v="Fashion"/>
    <s v="Sneakers"/>
    <s v="Aisha"/>
    <n v="5"/>
    <n v="75000"/>
    <n v="375000"/>
    <s v="High Sales"/>
    <s v="Kano"/>
    <s v="Fashion"/>
  </r>
  <r>
    <x v="20"/>
    <s v="Oyo"/>
    <s v="Fashion"/>
    <s v="Bag"/>
    <s v="Aisha"/>
    <n v="6"/>
    <n v="25000"/>
    <n v="150000"/>
    <s v="High Sales"/>
    <s v="Oyo"/>
    <s v="Fashion"/>
  </r>
  <r>
    <x v="48"/>
    <s v="Lagos"/>
    <s v="gRoCeRiEs"/>
    <s v="Sugar"/>
    <s v="Daniel"/>
    <n v="2"/>
    <n v="5000"/>
    <n v="10000"/>
    <s v="Low Sales"/>
    <s v="Lagos"/>
    <s v="Groceries"/>
  </r>
  <r>
    <x v="49"/>
    <s v="Abuja"/>
    <s v="gRoCeRiEs"/>
    <s v="Sugar"/>
    <s v="Mary"/>
    <n v="3"/>
    <n v="25000"/>
    <n v="75000"/>
    <s v="Low Sales"/>
    <s v="Abuja"/>
    <s v="Groceries"/>
  </r>
  <r>
    <x v="19"/>
    <s v="kAnO"/>
    <s v="Fashion"/>
    <s v="Bag"/>
    <s v="Daniel"/>
    <n v="11"/>
    <n v="50000"/>
    <n v="550000"/>
    <s v="High Sales"/>
    <s v="Kano"/>
    <s v="Fashi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s v="Rice"/>
    <x v="0"/>
    <n v="15"/>
    <n v="15000"/>
    <x v="0"/>
    <x v="0"/>
    <s v="adewalegracekano15@gmail.com"/>
  </r>
  <r>
    <x v="1"/>
    <x v="1"/>
    <x v="0"/>
    <s v="Sugar"/>
    <x v="1"/>
    <n v="16"/>
    <n v="15000"/>
    <x v="1"/>
    <x v="0"/>
    <s v="maryoyo16@gmail.com"/>
  </r>
  <r>
    <x v="2"/>
    <x v="2"/>
    <x v="1"/>
    <s v="Laptop"/>
    <x v="2"/>
    <n v="18"/>
    <n v="75000"/>
    <x v="2"/>
    <x v="0"/>
    <s v="daniellagos18@gmail.com"/>
  </r>
  <r>
    <x v="3"/>
    <x v="0"/>
    <x v="1"/>
    <s v="Power Bank"/>
    <x v="3"/>
    <n v="10"/>
    <n v="10000"/>
    <x v="3"/>
    <x v="0"/>
    <s v="usmankano10@gmail.com"/>
  </r>
  <r>
    <x v="4"/>
    <x v="1"/>
    <x v="2"/>
    <s v="Bag"/>
    <x v="3"/>
    <n v="8"/>
    <n v="25000"/>
    <x v="4"/>
    <x v="0"/>
    <s v="usmanoyo8@gmail.com"/>
  </r>
  <r>
    <x v="5"/>
    <x v="3"/>
    <x v="1"/>
    <s v="Phone"/>
    <x v="4"/>
    <n v="19"/>
    <n v="10000"/>
    <x v="5"/>
    <x v="0"/>
    <s v="davidogun19@gmail.com"/>
  </r>
  <r>
    <x v="6"/>
    <x v="0"/>
    <x v="1"/>
    <s v="Power Bank"/>
    <x v="5"/>
    <n v="1"/>
    <n v="5000"/>
    <x v="6"/>
    <x v="1"/>
    <s v="aishakano1@gmail.com"/>
  </r>
  <r>
    <x v="7"/>
    <x v="4"/>
    <x v="1"/>
    <s v="Power Bank"/>
    <x v="2"/>
    <n v="1"/>
    <n v="5000"/>
    <x v="6"/>
    <x v="1"/>
    <s v="danielrivers1@gmail.com"/>
  </r>
  <r>
    <x v="8"/>
    <x v="0"/>
    <x v="0"/>
    <s v="Sugar"/>
    <x v="4"/>
    <n v="3"/>
    <n v="5000"/>
    <x v="7"/>
    <x v="1"/>
    <s v="davidkano3@gmail.com"/>
  </r>
  <r>
    <x v="9"/>
    <x v="2"/>
    <x v="2"/>
    <s v="Bag"/>
    <x v="4"/>
    <n v="10"/>
    <n v="50000"/>
    <x v="8"/>
    <x v="0"/>
    <s v="davidlagos10@gmail.com"/>
  </r>
  <r>
    <x v="10"/>
    <x v="5"/>
    <x v="0"/>
    <s v="Milk"/>
    <x v="5"/>
    <n v="5"/>
    <n v="10000"/>
    <x v="9"/>
    <x v="1"/>
    <s v="aishaabuja5@gmail.com"/>
  </r>
  <r>
    <x v="11"/>
    <x v="3"/>
    <x v="2"/>
    <s v="T-Shirt"/>
    <x v="2"/>
    <n v="2"/>
    <n v="75000"/>
    <x v="10"/>
    <x v="0"/>
    <s v="danielogun2@gmail.com"/>
  </r>
  <r>
    <x v="12"/>
    <x v="4"/>
    <x v="1"/>
    <s v="Laptop"/>
    <x v="0"/>
    <n v="9"/>
    <n v="25000"/>
    <x v="0"/>
    <x v="0"/>
    <s v="adewalegracerivers9@gmail.com"/>
  </r>
  <r>
    <x v="13"/>
    <x v="1"/>
    <x v="2"/>
    <s v="Bag"/>
    <x v="5"/>
    <n v="9"/>
    <n v="75000"/>
    <x v="11"/>
    <x v="0"/>
    <s v="aishaoyo9@gmail.com"/>
  </r>
  <r>
    <x v="14"/>
    <x v="1"/>
    <x v="2"/>
    <s v="Bag"/>
    <x v="4"/>
    <n v="11"/>
    <n v="25000"/>
    <x v="12"/>
    <x v="0"/>
    <s v="davidoyo11@gmail.com"/>
  </r>
  <r>
    <x v="15"/>
    <x v="0"/>
    <x v="0"/>
    <s v="Milk"/>
    <x v="4"/>
    <n v="17"/>
    <n v="5000"/>
    <x v="13"/>
    <x v="1"/>
    <s v="davidkano17@gmail.com"/>
  </r>
  <r>
    <x v="16"/>
    <x v="3"/>
    <x v="0"/>
    <s v="Sugar"/>
    <x v="2"/>
    <n v="20"/>
    <n v="15000"/>
    <x v="14"/>
    <x v="0"/>
    <s v="danielogun20@gmail.com"/>
  </r>
  <r>
    <x v="17"/>
    <x v="5"/>
    <x v="1"/>
    <s v="Laptop"/>
    <x v="5"/>
    <n v="4"/>
    <n v="5000"/>
    <x v="15"/>
    <x v="1"/>
    <s v="aishaabuja4@gmail.com"/>
  </r>
  <r>
    <x v="18"/>
    <x v="0"/>
    <x v="2"/>
    <s v="T-Shirt"/>
    <x v="2"/>
    <n v="4"/>
    <n v="50000"/>
    <x v="4"/>
    <x v="0"/>
    <s v="danielkano4@gmail.com"/>
  </r>
  <r>
    <x v="19"/>
    <x v="4"/>
    <x v="0"/>
    <s v="Sugar"/>
    <x v="3"/>
    <n v="16"/>
    <n v="10000"/>
    <x v="16"/>
    <x v="0"/>
    <s v="usmanrivers16@gmail.com"/>
  </r>
  <r>
    <x v="20"/>
    <x v="3"/>
    <x v="0"/>
    <s v="Sugar"/>
    <x v="3"/>
    <n v="13"/>
    <n v="50000"/>
    <x v="17"/>
    <x v="0"/>
    <s v="usmanogun13@gmail.com"/>
  </r>
  <r>
    <x v="21"/>
    <x v="5"/>
    <x v="2"/>
    <s v="Bag"/>
    <x v="0"/>
    <n v="18"/>
    <n v="10000"/>
    <x v="18"/>
    <x v="0"/>
    <s v="adewalegraceabuja18@gmail.com"/>
  </r>
  <r>
    <x v="22"/>
    <x v="4"/>
    <x v="0"/>
    <s v="Rice"/>
    <x v="0"/>
    <n v="7"/>
    <n v="75000"/>
    <x v="19"/>
    <x v="0"/>
    <s v="adewalegracerivers7@gmail.com"/>
  </r>
  <r>
    <x v="23"/>
    <x v="2"/>
    <x v="0"/>
    <s v="Rice"/>
    <x v="3"/>
    <n v="3"/>
    <n v="50000"/>
    <x v="10"/>
    <x v="0"/>
    <s v="usmanlagos3@gmail.com"/>
  </r>
  <r>
    <x v="24"/>
    <x v="1"/>
    <x v="0"/>
    <s v="Sugar"/>
    <x v="1"/>
    <n v="4"/>
    <n v="10000"/>
    <x v="20"/>
    <x v="1"/>
    <s v="maryoyo4@gmail.com"/>
  </r>
  <r>
    <x v="25"/>
    <x v="5"/>
    <x v="2"/>
    <s v="T-Shirt"/>
    <x v="4"/>
    <n v="15"/>
    <n v="75000"/>
    <x v="21"/>
    <x v="0"/>
    <s v="davidabuja15@gmail.com"/>
  </r>
  <r>
    <x v="26"/>
    <x v="2"/>
    <x v="1"/>
    <s v="Laptop"/>
    <x v="5"/>
    <n v="1"/>
    <n v="50000"/>
    <x v="9"/>
    <x v="1"/>
    <s v="aishalagos1@gmail.com"/>
  </r>
  <r>
    <x v="27"/>
    <x v="0"/>
    <x v="1"/>
    <s v="Laptop"/>
    <x v="1"/>
    <n v="4"/>
    <n v="10000"/>
    <x v="20"/>
    <x v="1"/>
    <s v="marykano4@gmail.com"/>
  </r>
  <r>
    <x v="28"/>
    <x v="1"/>
    <x v="1"/>
    <s v="Power Bank"/>
    <x v="2"/>
    <n v="15"/>
    <n v="25000"/>
    <x v="22"/>
    <x v="0"/>
    <s v="danieloyo15@gmail.com"/>
  </r>
  <r>
    <x v="8"/>
    <x v="4"/>
    <x v="0"/>
    <s v="Sugar"/>
    <x v="5"/>
    <n v="11"/>
    <n v="5000"/>
    <x v="23"/>
    <x v="1"/>
    <s v="aisharivers11@gmail.com"/>
  </r>
  <r>
    <x v="7"/>
    <x v="4"/>
    <x v="1"/>
    <s v="Laptop"/>
    <x v="4"/>
    <n v="3"/>
    <n v="15000"/>
    <x v="24"/>
    <x v="1"/>
    <s v="davidrivers3@gmail.com"/>
  </r>
  <r>
    <x v="29"/>
    <x v="2"/>
    <x v="2"/>
    <s v="T-Shirt"/>
    <x v="4"/>
    <n v="10"/>
    <n v="75000"/>
    <x v="25"/>
    <x v="0"/>
    <s v="davidlagos10@gmail.com"/>
  </r>
  <r>
    <x v="30"/>
    <x v="1"/>
    <x v="2"/>
    <s v="Bag"/>
    <x v="1"/>
    <n v="20"/>
    <n v="50000"/>
    <x v="26"/>
    <x v="0"/>
    <s v="maryoyo20@gmail.com"/>
  </r>
  <r>
    <x v="25"/>
    <x v="5"/>
    <x v="0"/>
    <s v="Milk"/>
    <x v="2"/>
    <n v="17"/>
    <n v="25000"/>
    <x v="27"/>
    <x v="0"/>
    <s v="danielabuja17@gmail.com"/>
  </r>
  <r>
    <x v="31"/>
    <x v="3"/>
    <x v="1"/>
    <s v="Phone"/>
    <x v="5"/>
    <n v="11"/>
    <n v="25000"/>
    <x v="12"/>
    <x v="0"/>
    <s v="aishaogun11@gmail.com"/>
  </r>
  <r>
    <x v="32"/>
    <x v="2"/>
    <x v="1"/>
    <s v="Power Bank"/>
    <x v="2"/>
    <n v="7"/>
    <n v="50000"/>
    <x v="28"/>
    <x v="0"/>
    <s v="daniellagos7@gmail.com"/>
  </r>
  <r>
    <x v="33"/>
    <x v="5"/>
    <x v="0"/>
    <s v="Sugar"/>
    <x v="0"/>
    <n v="15"/>
    <n v="75000"/>
    <x v="21"/>
    <x v="0"/>
    <s v="adewalegraceabuja15@gmail.com"/>
  </r>
  <r>
    <x v="34"/>
    <x v="1"/>
    <x v="1"/>
    <s v="Laptop"/>
    <x v="4"/>
    <n v="14"/>
    <n v="50000"/>
    <x v="29"/>
    <x v="0"/>
    <s v="davidoyo14@gmail.com"/>
  </r>
  <r>
    <x v="35"/>
    <x v="0"/>
    <x v="2"/>
    <s v="Sneakers"/>
    <x v="2"/>
    <n v="3"/>
    <n v="5000"/>
    <x v="7"/>
    <x v="1"/>
    <s v="danielkano3@gmail.com"/>
  </r>
  <r>
    <x v="36"/>
    <x v="1"/>
    <x v="1"/>
    <s v="Laptop"/>
    <x v="3"/>
    <n v="18"/>
    <n v="5000"/>
    <x v="30"/>
    <x v="1"/>
    <s v="usmanoyo18@gmail.com"/>
  </r>
  <r>
    <x v="37"/>
    <x v="1"/>
    <x v="0"/>
    <s v="Sugar"/>
    <x v="3"/>
    <n v="2"/>
    <n v="15000"/>
    <x v="31"/>
    <x v="1"/>
    <s v="usmanoyo2@gmail.com"/>
  </r>
  <r>
    <x v="38"/>
    <x v="1"/>
    <x v="2"/>
    <s v="T-Shirt"/>
    <x v="3"/>
    <n v="14"/>
    <n v="75000"/>
    <x v="32"/>
    <x v="0"/>
    <s v="usmanoyo14@gmail.com"/>
  </r>
  <r>
    <x v="15"/>
    <x v="3"/>
    <x v="0"/>
    <s v="Milk"/>
    <x v="2"/>
    <n v="5"/>
    <n v="25000"/>
    <x v="33"/>
    <x v="0"/>
    <s v="danielogun5@gmail.com"/>
  </r>
  <r>
    <x v="39"/>
    <x v="3"/>
    <x v="1"/>
    <s v="Power Bank"/>
    <x v="0"/>
    <n v="4"/>
    <n v="10000"/>
    <x v="20"/>
    <x v="1"/>
    <s v="adewalegraceogun4@gmail.com"/>
  </r>
  <r>
    <x v="40"/>
    <x v="3"/>
    <x v="1"/>
    <s v="Power Bank"/>
    <x v="3"/>
    <n v="5"/>
    <n v="15000"/>
    <x v="34"/>
    <x v="1"/>
    <s v="usmanogun5@gmail.com"/>
  </r>
  <r>
    <x v="41"/>
    <x v="1"/>
    <x v="1"/>
    <s v="Phone"/>
    <x v="2"/>
    <n v="4"/>
    <n v="5000"/>
    <x v="15"/>
    <x v="1"/>
    <s v="danieloyo4@gmail.com"/>
  </r>
  <r>
    <x v="15"/>
    <x v="5"/>
    <x v="2"/>
    <s v="Bag"/>
    <x v="1"/>
    <n v="12"/>
    <n v="50000"/>
    <x v="35"/>
    <x v="0"/>
    <s v="maryabuja12@gmail.com"/>
  </r>
  <r>
    <x v="42"/>
    <x v="5"/>
    <x v="1"/>
    <s v="Power Bank"/>
    <x v="1"/>
    <n v="5"/>
    <n v="50000"/>
    <x v="36"/>
    <x v="0"/>
    <s v="maryabuja5@gmail.com"/>
  </r>
  <r>
    <x v="12"/>
    <x v="3"/>
    <x v="0"/>
    <s v="Sugar"/>
    <x v="1"/>
    <n v="1"/>
    <n v="10000"/>
    <x v="37"/>
    <x v="1"/>
    <s v="maryogun1@gmail.com"/>
  </r>
  <r>
    <x v="43"/>
    <x v="0"/>
    <x v="2"/>
    <s v="Sneakers"/>
    <x v="1"/>
    <n v="12"/>
    <n v="15000"/>
    <x v="18"/>
    <x v="0"/>
    <s v="marykano12@gmail.com"/>
  </r>
  <r>
    <x v="44"/>
    <x v="0"/>
    <x v="1"/>
    <s v="Phone"/>
    <x v="2"/>
    <n v="11"/>
    <n v="10000"/>
    <x v="38"/>
    <x v="0"/>
    <s v="danielkano11@gmail.com"/>
  </r>
  <r>
    <x v="35"/>
    <x v="0"/>
    <x v="2"/>
    <s v="T-Shirt"/>
    <x v="4"/>
    <n v="2"/>
    <n v="50000"/>
    <x v="3"/>
    <x v="0"/>
    <s v="davidkano2@gmail.com"/>
  </r>
  <r>
    <x v="25"/>
    <x v="1"/>
    <x v="2"/>
    <s v="Bag"/>
    <x v="0"/>
    <n v="9"/>
    <n v="15000"/>
    <x v="39"/>
    <x v="0"/>
    <s v="adewalegraceoyo9@gmail.com"/>
  </r>
  <r>
    <x v="45"/>
    <x v="2"/>
    <x v="1"/>
    <s v="Laptop"/>
    <x v="3"/>
    <n v="16"/>
    <n v="50000"/>
    <x v="40"/>
    <x v="0"/>
    <s v="usmanlagos16@gmail.com"/>
  </r>
  <r>
    <x v="46"/>
    <x v="5"/>
    <x v="1"/>
    <s v="Laptop"/>
    <x v="3"/>
    <n v="5"/>
    <n v="25000"/>
    <x v="33"/>
    <x v="0"/>
    <s v="usmanabuja5@gmail.com"/>
  </r>
  <r>
    <x v="47"/>
    <x v="0"/>
    <x v="2"/>
    <s v="Sneakers"/>
    <x v="5"/>
    <n v="5"/>
    <n v="75000"/>
    <x v="22"/>
    <x v="0"/>
    <s v="aishakano5@gmail.com"/>
  </r>
  <r>
    <x v="20"/>
    <x v="1"/>
    <x v="2"/>
    <s v="Bag"/>
    <x v="5"/>
    <n v="6"/>
    <n v="25000"/>
    <x v="10"/>
    <x v="0"/>
    <s v="aishaoyo6@gmail.com"/>
  </r>
  <r>
    <x v="48"/>
    <x v="2"/>
    <x v="0"/>
    <s v="Sugar"/>
    <x v="2"/>
    <n v="2"/>
    <n v="5000"/>
    <x v="37"/>
    <x v="1"/>
    <s v="daniellagos2@gmail.com"/>
  </r>
  <r>
    <x v="49"/>
    <x v="5"/>
    <x v="0"/>
    <s v="Sugar"/>
    <x v="1"/>
    <n v="3"/>
    <n v="25000"/>
    <x v="34"/>
    <x v="1"/>
    <s v="maryabuja3@gmail.com"/>
  </r>
  <r>
    <x v="19"/>
    <x v="0"/>
    <x v="2"/>
    <s v="Bag"/>
    <x v="2"/>
    <n v="11"/>
    <n v="50000"/>
    <x v="41"/>
    <x v="0"/>
    <s v="danielkano11@g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624E1D-EC57-4068-A3F8-196E4F38585D}"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E2:F9" firstHeaderRow="1" firstDataRow="1" firstDataCol="1"/>
  <pivotFields count="12">
    <pivotField numFmtId="164" showAll="0">
      <items count="51">
        <item x="2"/>
        <item x="23"/>
        <item x="31"/>
        <item x="10"/>
        <item x="27"/>
        <item x="40"/>
        <item x="21"/>
        <item x="3"/>
        <item x="34"/>
        <item x="15"/>
        <item x="29"/>
        <item x="32"/>
        <item x="47"/>
        <item x="22"/>
        <item x="30"/>
        <item x="41"/>
        <item x="36"/>
        <item x="12"/>
        <item x="6"/>
        <item x="5"/>
        <item x="38"/>
        <item x="20"/>
        <item x="9"/>
        <item x="24"/>
        <item x="8"/>
        <item x="17"/>
        <item x="4"/>
        <item x="0"/>
        <item x="13"/>
        <item x="42"/>
        <item x="37"/>
        <item x="39"/>
        <item x="16"/>
        <item x="26"/>
        <item x="44"/>
        <item x="35"/>
        <item x="18"/>
        <item x="14"/>
        <item x="1"/>
        <item x="7"/>
        <item x="49"/>
        <item x="48"/>
        <item x="25"/>
        <item x="19"/>
        <item x="28"/>
        <item x="11"/>
        <item x="45"/>
        <item x="43"/>
        <item x="33"/>
        <item x="46"/>
        <item t="default"/>
      </items>
    </pivotField>
    <pivotField axis="axisRow" showAll="0">
      <items count="7">
        <item x="5"/>
        <item x="0"/>
        <item x="2"/>
        <item x="3"/>
        <item x="1"/>
        <item x="4"/>
        <item t="default"/>
      </items>
    </pivotField>
    <pivotField showAll="0"/>
    <pivotField showAll="0"/>
    <pivotField showAll="0"/>
    <pivotField showAll="0"/>
    <pivotField numFmtId="165" showAll="0"/>
    <pivotField dataField="1" numFmtId="165" showAll="0"/>
    <pivotField showAll="0">
      <items count="3">
        <item h="1"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Items count="1">
    <i/>
  </colItems>
  <dataFields count="1">
    <dataField name="Sum of Total_Sales" fld="7"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FF1AF6-40CC-44A6-841F-96F6139350E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B9" firstHeaderRow="1" firstDataRow="1" firstDataCol="1"/>
  <pivotFields count="12">
    <pivotField numFmtId="164" showAll="0">
      <items count="51">
        <item x="2"/>
        <item x="23"/>
        <item x="31"/>
        <item x="10"/>
        <item x="27"/>
        <item x="40"/>
        <item x="21"/>
        <item x="3"/>
        <item x="34"/>
        <item x="15"/>
        <item x="29"/>
        <item x="32"/>
        <item x="47"/>
        <item x="22"/>
        <item x="30"/>
        <item x="41"/>
        <item x="36"/>
        <item x="12"/>
        <item x="6"/>
        <item x="5"/>
        <item x="38"/>
        <item x="20"/>
        <item x="9"/>
        <item x="24"/>
        <item x="8"/>
        <item x="17"/>
        <item x="4"/>
        <item x="0"/>
        <item x="13"/>
        <item x="42"/>
        <item x="37"/>
        <item x="39"/>
        <item x="16"/>
        <item x="26"/>
        <item x="44"/>
        <item x="35"/>
        <item x="18"/>
        <item x="14"/>
        <item x="1"/>
        <item x="7"/>
        <item x="49"/>
        <item x="48"/>
        <item x="25"/>
        <item x="19"/>
        <item x="28"/>
        <item x="11"/>
        <item x="45"/>
        <item x="43"/>
        <item x="33"/>
        <item x="46"/>
        <item t="default"/>
      </items>
    </pivotField>
    <pivotField showAll="0"/>
    <pivotField showAll="0"/>
    <pivotField showAll="0"/>
    <pivotField showAll="0"/>
    <pivotField dataField="1" showAll="0"/>
    <pivotField numFmtId="165" showAll="0"/>
    <pivotField numFmtId="165"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7">
    <i>
      <x v="1"/>
    </i>
    <i>
      <x v="2"/>
    </i>
    <i>
      <x v="3"/>
    </i>
    <i>
      <x v="4"/>
    </i>
    <i>
      <x v="5"/>
    </i>
    <i>
      <x v="6"/>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E59BBE-1AFC-4080-9D88-8D988819448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2:F16" firstHeaderRow="1" firstDataRow="1" firstDataCol="1"/>
  <pivotFields count="12">
    <pivotField numFmtId="164" showAll="0">
      <items count="51">
        <item x="2"/>
        <item x="23"/>
        <item x="31"/>
        <item x="10"/>
        <item x="27"/>
        <item x="40"/>
        <item x="21"/>
        <item x="3"/>
        <item x="34"/>
        <item x="15"/>
        <item x="29"/>
        <item x="32"/>
        <item x="47"/>
        <item x="22"/>
        <item x="30"/>
        <item x="41"/>
        <item x="36"/>
        <item x="12"/>
        <item x="6"/>
        <item x="5"/>
        <item x="38"/>
        <item x="20"/>
        <item x="9"/>
        <item x="24"/>
        <item x="8"/>
        <item x="17"/>
        <item x="4"/>
        <item x="0"/>
        <item x="13"/>
        <item x="42"/>
        <item x="37"/>
        <item x="39"/>
        <item x="16"/>
        <item x="26"/>
        <item x="44"/>
        <item x="35"/>
        <item x="18"/>
        <item x="14"/>
        <item x="1"/>
        <item x="7"/>
        <item x="49"/>
        <item x="48"/>
        <item x="25"/>
        <item x="19"/>
        <item x="28"/>
        <item x="11"/>
        <item x="45"/>
        <item x="43"/>
        <item x="33"/>
        <item x="46"/>
        <item t="default"/>
      </items>
    </pivotField>
    <pivotField showAll="0"/>
    <pivotField axis="axisRow" showAll="0">
      <items count="4">
        <item x="1"/>
        <item x="2"/>
        <item x="0"/>
        <item t="default"/>
      </items>
    </pivotField>
    <pivotField showAll="0"/>
    <pivotField showAll="0"/>
    <pivotField dataField="1" showAll="0"/>
    <pivotField numFmtId="165" showAll="0"/>
    <pivotField numFmtId="165" showAll="0"/>
    <pivotField showAll="0">
      <items count="3">
        <item h="1"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Quantity" fld="5"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812894-99ED-41C6-9EF2-0F1B5CA023D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9" firstHeaderRow="1" firstDataRow="1" firstDataCol="1"/>
  <pivotFields count="12">
    <pivotField numFmtId="164" showAll="0">
      <items count="51">
        <item x="2"/>
        <item x="23"/>
        <item x="31"/>
        <item x="10"/>
        <item x="27"/>
        <item x="40"/>
        <item x="21"/>
        <item x="3"/>
        <item x="34"/>
        <item x="15"/>
        <item x="29"/>
        <item x="32"/>
        <item x="47"/>
        <item x="22"/>
        <item x="30"/>
        <item x="41"/>
        <item x="36"/>
        <item x="12"/>
        <item x="6"/>
        <item x="5"/>
        <item x="38"/>
        <item x="20"/>
        <item x="9"/>
        <item x="24"/>
        <item x="8"/>
        <item x="17"/>
        <item x="4"/>
        <item x="0"/>
        <item x="13"/>
        <item x="42"/>
        <item x="37"/>
        <item x="39"/>
        <item x="16"/>
        <item x="26"/>
        <item x="44"/>
        <item x="35"/>
        <item x="18"/>
        <item x="14"/>
        <item x="1"/>
        <item x="7"/>
        <item x="49"/>
        <item x="48"/>
        <item x="25"/>
        <item x="19"/>
        <item x="28"/>
        <item x="11"/>
        <item x="45"/>
        <item x="43"/>
        <item x="33"/>
        <item x="46"/>
        <item t="default"/>
      </items>
    </pivotField>
    <pivotField showAll="0">
      <items count="7">
        <item x="5"/>
        <item x="0"/>
        <item x="2"/>
        <item x="3"/>
        <item x="1"/>
        <item x="4"/>
        <item t="default"/>
      </items>
    </pivotField>
    <pivotField showAll="0">
      <items count="4">
        <item x="1"/>
        <item x="2"/>
        <item x="0"/>
        <item t="default"/>
      </items>
    </pivotField>
    <pivotField showAll="0"/>
    <pivotField axis="axisRow" showAll="0">
      <items count="7">
        <item x="0"/>
        <item x="5"/>
        <item x="2"/>
        <item x="4"/>
        <item x="1"/>
        <item x="3"/>
        <item t="default"/>
      </items>
    </pivotField>
    <pivotField showAll="0"/>
    <pivotField numFmtId="165" showAll="0"/>
    <pivotField dataField="1" numFmtId="165" showAll="0">
      <items count="43">
        <item x="6"/>
        <item x="37"/>
        <item x="7"/>
        <item x="15"/>
        <item x="31"/>
        <item x="20"/>
        <item x="24"/>
        <item x="9"/>
        <item x="23"/>
        <item x="34"/>
        <item x="13"/>
        <item x="30"/>
        <item x="3"/>
        <item x="38"/>
        <item x="33"/>
        <item x="39"/>
        <item x="10"/>
        <item x="16"/>
        <item x="18"/>
        <item x="5"/>
        <item x="4"/>
        <item x="0"/>
        <item x="1"/>
        <item x="36"/>
        <item x="12"/>
        <item x="14"/>
        <item x="28"/>
        <item x="22"/>
        <item x="27"/>
        <item x="8"/>
        <item x="19"/>
        <item x="41"/>
        <item x="35"/>
        <item x="17"/>
        <item x="11"/>
        <item x="29"/>
        <item x="25"/>
        <item x="40"/>
        <item x="26"/>
        <item x="32"/>
        <item x="21"/>
        <item x="2"/>
        <item t="default"/>
      </items>
    </pivotField>
    <pivotField showAll="0">
      <items count="3">
        <item h="1"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Total_Sales" fld="7"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4DD09E7-8509-4060-9BE7-977BE5459493}" sourceName="Months (Date)">
  <pivotTables>
    <pivotTable tabId="5" name="PivotTable4"/>
    <pivotTable tabId="5" name="PivotTable5"/>
    <pivotTable tabId="5" name="PivotTable6"/>
  </pivotTables>
  <data>
    <tabular pivotCacheId="1945346497">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FF4B031-FAD8-4009-A88E-53ED7486472F}" cache="Slicer_Months__Date" caption="Months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workbookViewId="0">
      <selection activeCell="C28" sqref="C28"/>
    </sheetView>
  </sheetViews>
  <sheetFormatPr defaultRowHeight="14.4" x14ac:dyDescent="0.3"/>
  <cols>
    <col min="1" max="2" width="15" customWidth="1"/>
    <col min="3" max="4" width="20" customWidth="1"/>
    <col min="5" max="5" width="15" customWidth="1"/>
    <col min="6" max="6" width="12" customWidth="1"/>
    <col min="7" max="7" width="15" customWidth="1"/>
    <col min="8" max="8" width="18" customWidth="1"/>
    <col min="9" max="9" width="14.5546875" customWidth="1"/>
  </cols>
  <sheetData>
    <row r="1" spans="1:9" x14ac:dyDescent="0.3">
      <c r="A1" s="2" t="s">
        <v>0</v>
      </c>
      <c r="B1" s="2" t="s">
        <v>1</v>
      </c>
      <c r="C1" s="2" t="s">
        <v>2</v>
      </c>
      <c r="D1" s="2" t="s">
        <v>3</v>
      </c>
      <c r="E1" s="2" t="s">
        <v>4</v>
      </c>
      <c r="F1" s="2" t="s">
        <v>5</v>
      </c>
      <c r="G1" s="2" t="s">
        <v>6</v>
      </c>
      <c r="H1" s="2" t="s">
        <v>7</v>
      </c>
      <c r="I1" s="2" t="s">
        <v>32</v>
      </c>
    </row>
    <row r="2" spans="1:9" x14ac:dyDescent="0.3">
      <c r="A2" s="1">
        <v>46108</v>
      </c>
      <c r="B2" t="s">
        <v>29</v>
      </c>
      <c r="C2" t="s">
        <v>30</v>
      </c>
      <c r="D2" t="s">
        <v>8</v>
      </c>
      <c r="E2" t="s">
        <v>9</v>
      </c>
      <c r="F2">
        <v>15</v>
      </c>
      <c r="G2">
        <v>15000</v>
      </c>
    </row>
    <row r="3" spans="1:9" x14ac:dyDescent="0.3">
      <c r="A3" s="1">
        <v>46149</v>
      </c>
      <c r="B3" t="s">
        <v>10</v>
      </c>
      <c r="C3" t="s">
        <v>30</v>
      </c>
      <c r="D3" t="s">
        <v>11</v>
      </c>
      <c r="E3" t="s">
        <v>12</v>
      </c>
      <c r="F3">
        <v>16</v>
      </c>
      <c r="G3">
        <v>15000</v>
      </c>
    </row>
    <row r="4" spans="1:9" x14ac:dyDescent="0.3">
      <c r="A4" s="1">
        <v>46025</v>
      </c>
      <c r="B4" t="s">
        <v>13</v>
      </c>
      <c r="C4" t="s">
        <v>14</v>
      </c>
      <c r="D4" t="s">
        <v>15</v>
      </c>
      <c r="E4" t="s">
        <v>16</v>
      </c>
      <c r="F4">
        <v>18</v>
      </c>
      <c r="G4">
        <v>75000</v>
      </c>
    </row>
    <row r="5" spans="1:9" x14ac:dyDescent="0.3">
      <c r="A5" s="1">
        <v>46041</v>
      </c>
      <c r="B5" t="s">
        <v>29</v>
      </c>
      <c r="C5" t="s">
        <v>14</v>
      </c>
      <c r="D5" t="s">
        <v>17</v>
      </c>
      <c r="E5" t="s">
        <v>18</v>
      </c>
      <c r="F5">
        <v>10</v>
      </c>
      <c r="G5">
        <v>10000</v>
      </c>
    </row>
    <row r="6" spans="1:9" x14ac:dyDescent="0.3">
      <c r="A6" s="1">
        <v>46104</v>
      </c>
      <c r="B6" t="s">
        <v>10</v>
      </c>
      <c r="C6" t="s">
        <v>19</v>
      </c>
      <c r="D6" t="s">
        <v>20</v>
      </c>
      <c r="E6" t="s">
        <v>18</v>
      </c>
      <c r="F6">
        <v>8</v>
      </c>
      <c r="G6">
        <v>25000</v>
      </c>
    </row>
    <row r="7" spans="1:9" x14ac:dyDescent="0.3">
      <c r="A7" s="1">
        <v>46079</v>
      </c>
      <c r="B7" t="s">
        <v>31</v>
      </c>
      <c r="C7" t="s">
        <v>14</v>
      </c>
      <c r="D7" t="s">
        <v>21</v>
      </c>
      <c r="E7" t="s">
        <v>22</v>
      </c>
      <c r="F7">
        <v>19</v>
      </c>
      <c r="G7">
        <v>10000</v>
      </c>
    </row>
    <row r="8" spans="1:9" x14ac:dyDescent="0.3">
      <c r="A8" s="1">
        <v>46068</v>
      </c>
      <c r="B8" t="s">
        <v>29</v>
      </c>
      <c r="C8" t="s">
        <v>14</v>
      </c>
      <c r="D8" t="s">
        <v>17</v>
      </c>
      <c r="E8" t="s">
        <v>23</v>
      </c>
      <c r="F8">
        <v>1</v>
      </c>
      <c r="G8">
        <v>5000</v>
      </c>
    </row>
    <row r="9" spans="1:9" x14ac:dyDescent="0.3">
      <c r="A9" s="1">
        <v>46152</v>
      </c>
      <c r="B9" t="s">
        <v>24</v>
      </c>
      <c r="C9" t="s">
        <v>14</v>
      </c>
      <c r="D9" t="s">
        <v>17</v>
      </c>
      <c r="E9" t="s">
        <v>16</v>
      </c>
      <c r="F9">
        <v>1</v>
      </c>
      <c r="G9">
        <v>5000</v>
      </c>
    </row>
    <row r="10" spans="1:9" x14ac:dyDescent="0.3">
      <c r="A10" s="1">
        <v>46101</v>
      </c>
      <c r="B10" t="s">
        <v>29</v>
      </c>
      <c r="C10" t="s">
        <v>30</v>
      </c>
      <c r="D10" t="s">
        <v>11</v>
      </c>
      <c r="E10" t="s">
        <v>22</v>
      </c>
      <c r="F10">
        <v>3</v>
      </c>
      <c r="G10">
        <v>5000</v>
      </c>
    </row>
    <row r="11" spans="1:9" x14ac:dyDescent="0.3">
      <c r="A11" s="1">
        <v>46095</v>
      </c>
      <c r="B11" t="s">
        <v>13</v>
      </c>
      <c r="C11" t="s">
        <v>19</v>
      </c>
      <c r="D11" t="s">
        <v>20</v>
      </c>
      <c r="E11" t="s">
        <v>22</v>
      </c>
      <c r="F11">
        <v>10</v>
      </c>
      <c r="G11">
        <v>50000</v>
      </c>
    </row>
    <row r="12" spans="1:9" x14ac:dyDescent="0.3">
      <c r="A12" s="1">
        <v>46034</v>
      </c>
      <c r="B12" t="s">
        <v>25</v>
      </c>
      <c r="C12" t="s">
        <v>30</v>
      </c>
      <c r="D12" t="s">
        <v>26</v>
      </c>
      <c r="E12" t="s">
        <v>23</v>
      </c>
      <c r="F12">
        <v>5</v>
      </c>
      <c r="G12">
        <v>10000</v>
      </c>
    </row>
    <row r="13" spans="1:9" x14ac:dyDescent="0.3">
      <c r="A13" s="1">
        <v>46188</v>
      </c>
      <c r="B13" t="s">
        <v>31</v>
      </c>
      <c r="C13" t="s">
        <v>19</v>
      </c>
      <c r="D13" t="s">
        <v>27</v>
      </c>
      <c r="E13" t="s">
        <v>16</v>
      </c>
      <c r="F13">
        <v>2</v>
      </c>
      <c r="G13">
        <v>75000</v>
      </c>
    </row>
    <row r="14" spans="1:9" x14ac:dyDescent="0.3">
      <c r="A14" s="1">
        <v>46067</v>
      </c>
      <c r="B14" t="s">
        <v>24</v>
      </c>
      <c r="C14" t="s">
        <v>14</v>
      </c>
      <c r="D14" t="s">
        <v>15</v>
      </c>
      <c r="E14" t="s">
        <v>9</v>
      </c>
      <c r="F14">
        <v>9</v>
      </c>
      <c r="G14">
        <v>25000</v>
      </c>
    </row>
    <row r="15" spans="1:9" x14ac:dyDescent="0.3">
      <c r="A15" s="1">
        <v>46116</v>
      </c>
      <c r="B15" t="s">
        <v>10</v>
      </c>
      <c r="C15" t="s">
        <v>19</v>
      </c>
      <c r="D15" t="s">
        <v>20</v>
      </c>
      <c r="E15" t="s">
        <v>23</v>
      </c>
      <c r="F15">
        <v>9</v>
      </c>
      <c r="G15">
        <v>75000</v>
      </c>
    </row>
    <row r="16" spans="1:9" x14ac:dyDescent="0.3">
      <c r="A16" s="1">
        <v>46147</v>
      </c>
      <c r="B16" t="s">
        <v>10</v>
      </c>
      <c r="C16" t="s">
        <v>19</v>
      </c>
      <c r="D16" t="s">
        <v>20</v>
      </c>
      <c r="E16" t="s">
        <v>22</v>
      </c>
      <c r="F16">
        <v>11</v>
      </c>
      <c r="G16">
        <v>25000</v>
      </c>
    </row>
    <row r="17" spans="1:7" x14ac:dyDescent="0.3">
      <c r="A17" s="1">
        <v>46044</v>
      </c>
      <c r="B17" t="s">
        <v>29</v>
      </c>
      <c r="C17" t="s">
        <v>30</v>
      </c>
      <c r="D17" t="s">
        <v>26</v>
      </c>
      <c r="E17" t="s">
        <v>22</v>
      </c>
      <c r="F17">
        <v>17</v>
      </c>
      <c r="G17">
        <v>5000</v>
      </c>
    </row>
    <row r="18" spans="1:7" x14ac:dyDescent="0.3">
      <c r="A18" s="1">
        <v>46130</v>
      </c>
      <c r="B18" t="s">
        <v>31</v>
      </c>
      <c r="C18" t="s">
        <v>30</v>
      </c>
      <c r="D18" t="s">
        <v>11</v>
      </c>
      <c r="E18" t="s">
        <v>16</v>
      </c>
      <c r="F18">
        <v>20</v>
      </c>
      <c r="G18">
        <v>15000</v>
      </c>
    </row>
    <row r="19" spans="1:7" x14ac:dyDescent="0.3">
      <c r="A19" s="1">
        <v>46102</v>
      </c>
      <c r="B19" t="s">
        <v>25</v>
      </c>
      <c r="C19" t="s">
        <v>14</v>
      </c>
      <c r="D19" t="s">
        <v>15</v>
      </c>
      <c r="E19" t="s">
        <v>23</v>
      </c>
      <c r="F19">
        <v>4</v>
      </c>
      <c r="G19">
        <v>5000</v>
      </c>
    </row>
    <row r="20" spans="1:7" x14ac:dyDescent="0.3">
      <c r="A20" s="1">
        <v>46143</v>
      </c>
      <c r="B20" t="s">
        <v>29</v>
      </c>
      <c r="C20" t="s">
        <v>19</v>
      </c>
      <c r="D20" t="s">
        <v>27</v>
      </c>
      <c r="E20" t="s">
        <v>16</v>
      </c>
      <c r="F20">
        <v>4</v>
      </c>
      <c r="G20">
        <v>50000</v>
      </c>
    </row>
    <row r="21" spans="1:7" x14ac:dyDescent="0.3">
      <c r="A21" s="1">
        <v>46181</v>
      </c>
      <c r="B21" t="s">
        <v>24</v>
      </c>
      <c r="C21" t="s">
        <v>30</v>
      </c>
      <c r="D21" t="s">
        <v>11</v>
      </c>
      <c r="E21" t="s">
        <v>18</v>
      </c>
      <c r="F21">
        <v>16</v>
      </c>
      <c r="G21">
        <v>10000</v>
      </c>
    </row>
    <row r="22" spans="1:7" x14ac:dyDescent="0.3">
      <c r="A22" s="1">
        <v>46091</v>
      </c>
      <c r="B22" t="s">
        <v>31</v>
      </c>
      <c r="C22" t="s">
        <v>30</v>
      </c>
      <c r="D22" t="s">
        <v>11</v>
      </c>
      <c r="E22" t="s">
        <v>18</v>
      </c>
      <c r="F22">
        <v>13</v>
      </c>
      <c r="G22">
        <v>50000</v>
      </c>
    </row>
    <row r="23" spans="1:7" x14ac:dyDescent="0.3">
      <c r="A23" s="1">
        <v>46039</v>
      </c>
      <c r="B23" t="s">
        <v>25</v>
      </c>
      <c r="C23" t="s">
        <v>19</v>
      </c>
      <c r="D23" t="s">
        <v>20</v>
      </c>
      <c r="E23" t="s">
        <v>9</v>
      </c>
      <c r="F23">
        <v>18</v>
      </c>
      <c r="G23">
        <v>10000</v>
      </c>
    </row>
    <row r="24" spans="1:7" x14ac:dyDescent="0.3">
      <c r="A24" s="1">
        <v>46056</v>
      </c>
      <c r="B24" t="s">
        <v>24</v>
      </c>
      <c r="C24" t="s">
        <v>30</v>
      </c>
      <c r="D24" t="s">
        <v>8</v>
      </c>
      <c r="E24" t="s">
        <v>9</v>
      </c>
      <c r="F24">
        <v>7</v>
      </c>
      <c r="G24">
        <v>75000</v>
      </c>
    </row>
    <row r="25" spans="1:7" x14ac:dyDescent="0.3">
      <c r="A25" s="1">
        <v>46026</v>
      </c>
      <c r="B25" t="s">
        <v>13</v>
      </c>
      <c r="C25" t="s">
        <v>30</v>
      </c>
      <c r="D25" t="s">
        <v>8</v>
      </c>
      <c r="E25" t="s">
        <v>18</v>
      </c>
      <c r="F25">
        <v>3</v>
      </c>
      <c r="G25">
        <v>50000</v>
      </c>
    </row>
    <row r="26" spans="1:7" x14ac:dyDescent="0.3">
      <c r="A26" s="1">
        <v>46096</v>
      </c>
      <c r="B26" t="s">
        <v>10</v>
      </c>
      <c r="C26" t="s">
        <v>30</v>
      </c>
      <c r="D26" t="s">
        <v>11</v>
      </c>
      <c r="E26" t="s">
        <v>12</v>
      </c>
      <c r="F26">
        <v>4</v>
      </c>
      <c r="G26">
        <v>10000</v>
      </c>
    </row>
    <row r="27" spans="1:7" x14ac:dyDescent="0.3">
      <c r="A27" s="1">
        <v>46178</v>
      </c>
      <c r="B27" t="s">
        <v>25</v>
      </c>
      <c r="C27" t="s">
        <v>19</v>
      </c>
      <c r="D27" t="s">
        <v>27</v>
      </c>
      <c r="E27" t="s">
        <v>22</v>
      </c>
      <c r="F27">
        <v>15</v>
      </c>
      <c r="G27">
        <v>75000</v>
      </c>
    </row>
    <row r="28" spans="1:7" x14ac:dyDescent="0.3">
      <c r="A28" s="1">
        <v>46133</v>
      </c>
      <c r="B28" t="s">
        <v>13</v>
      </c>
      <c r="C28" t="s">
        <v>14</v>
      </c>
      <c r="D28" t="s">
        <v>15</v>
      </c>
      <c r="E28" t="s">
        <v>23</v>
      </c>
      <c r="F28">
        <v>1</v>
      </c>
      <c r="G28">
        <v>50000</v>
      </c>
    </row>
    <row r="29" spans="1:7" x14ac:dyDescent="0.3">
      <c r="A29" s="1">
        <v>46035</v>
      </c>
      <c r="B29" t="s">
        <v>29</v>
      </c>
      <c r="C29" t="s">
        <v>14</v>
      </c>
      <c r="D29" t="s">
        <v>15</v>
      </c>
      <c r="E29" t="s">
        <v>12</v>
      </c>
      <c r="F29">
        <v>4</v>
      </c>
      <c r="G29">
        <v>10000</v>
      </c>
    </row>
    <row r="30" spans="1:7" x14ac:dyDescent="0.3">
      <c r="A30" s="1">
        <v>46183</v>
      </c>
      <c r="B30" t="s">
        <v>10</v>
      </c>
      <c r="C30" t="s">
        <v>14</v>
      </c>
      <c r="D30" t="s">
        <v>17</v>
      </c>
      <c r="E30" t="s">
        <v>16</v>
      </c>
      <c r="F30">
        <v>15</v>
      </c>
      <c r="G30">
        <v>25000</v>
      </c>
    </row>
    <row r="31" spans="1:7" x14ac:dyDescent="0.3">
      <c r="A31" s="1">
        <v>46101</v>
      </c>
      <c r="B31" t="s">
        <v>24</v>
      </c>
      <c r="C31" t="s">
        <v>30</v>
      </c>
      <c r="D31" t="s">
        <v>11</v>
      </c>
      <c r="E31" t="s">
        <v>23</v>
      </c>
      <c r="F31">
        <v>11</v>
      </c>
      <c r="G31">
        <v>5000</v>
      </c>
    </row>
    <row r="32" spans="1:7" x14ac:dyDescent="0.3">
      <c r="A32" s="1">
        <v>46152</v>
      </c>
      <c r="B32" t="s">
        <v>24</v>
      </c>
      <c r="C32" t="s">
        <v>14</v>
      </c>
      <c r="D32" t="s">
        <v>15</v>
      </c>
      <c r="E32" t="s">
        <v>22</v>
      </c>
      <c r="F32">
        <v>3</v>
      </c>
      <c r="G32">
        <v>15000</v>
      </c>
    </row>
    <row r="33" spans="1:7" x14ac:dyDescent="0.3">
      <c r="A33" s="1">
        <v>46048</v>
      </c>
      <c r="B33" t="s">
        <v>13</v>
      </c>
      <c r="C33" t="s">
        <v>19</v>
      </c>
      <c r="D33" t="s">
        <v>27</v>
      </c>
      <c r="E33" t="s">
        <v>22</v>
      </c>
      <c r="F33">
        <v>10</v>
      </c>
      <c r="G33">
        <v>75000</v>
      </c>
    </row>
    <row r="34" spans="1:7" x14ac:dyDescent="0.3">
      <c r="A34" s="1">
        <v>46057</v>
      </c>
      <c r="B34" t="s">
        <v>10</v>
      </c>
      <c r="C34" t="s">
        <v>19</v>
      </c>
      <c r="D34" t="s">
        <v>20</v>
      </c>
      <c r="E34" t="s">
        <v>12</v>
      </c>
      <c r="F34">
        <v>20</v>
      </c>
      <c r="G34">
        <v>50000</v>
      </c>
    </row>
    <row r="35" spans="1:7" x14ac:dyDescent="0.3">
      <c r="A35" s="1">
        <v>46178</v>
      </c>
      <c r="B35" t="s">
        <v>25</v>
      </c>
      <c r="C35" t="s">
        <v>30</v>
      </c>
      <c r="D35" t="s">
        <v>26</v>
      </c>
      <c r="E35" t="s">
        <v>16</v>
      </c>
      <c r="F35">
        <v>17</v>
      </c>
      <c r="G35">
        <v>25000</v>
      </c>
    </row>
    <row r="36" spans="1:7" x14ac:dyDescent="0.3">
      <c r="A36" s="1">
        <v>46031</v>
      </c>
      <c r="B36" t="s">
        <v>31</v>
      </c>
      <c r="C36" t="s">
        <v>14</v>
      </c>
      <c r="D36" t="s">
        <v>21</v>
      </c>
      <c r="E36" t="s">
        <v>23</v>
      </c>
      <c r="F36">
        <v>11</v>
      </c>
      <c r="G36">
        <v>25000</v>
      </c>
    </row>
    <row r="37" spans="1:7" x14ac:dyDescent="0.3">
      <c r="A37" s="1">
        <v>46051</v>
      </c>
      <c r="B37" t="s">
        <v>13</v>
      </c>
      <c r="C37" t="s">
        <v>14</v>
      </c>
      <c r="D37" t="s">
        <v>17</v>
      </c>
      <c r="E37" t="s">
        <v>16</v>
      </c>
      <c r="F37">
        <v>7</v>
      </c>
      <c r="G37">
        <v>50000</v>
      </c>
    </row>
    <row r="38" spans="1:7" x14ac:dyDescent="0.3">
      <c r="A38" s="1">
        <v>46198</v>
      </c>
      <c r="B38" t="s">
        <v>25</v>
      </c>
      <c r="C38" t="s">
        <v>30</v>
      </c>
      <c r="D38" t="s">
        <v>11</v>
      </c>
      <c r="E38" t="s">
        <v>9</v>
      </c>
      <c r="F38">
        <v>15</v>
      </c>
      <c r="G38">
        <v>75000</v>
      </c>
    </row>
    <row r="39" spans="1:7" x14ac:dyDescent="0.3">
      <c r="A39" s="1">
        <v>46043</v>
      </c>
      <c r="B39" t="s">
        <v>10</v>
      </c>
      <c r="C39" t="s">
        <v>14</v>
      </c>
      <c r="D39" t="s">
        <v>15</v>
      </c>
      <c r="E39" t="s">
        <v>22</v>
      </c>
      <c r="F39">
        <v>14</v>
      </c>
      <c r="G39">
        <v>50000</v>
      </c>
    </row>
    <row r="40" spans="1:7" x14ac:dyDescent="0.3">
      <c r="A40" s="1">
        <v>46139</v>
      </c>
      <c r="B40" t="s">
        <v>29</v>
      </c>
      <c r="C40" t="s">
        <v>19</v>
      </c>
      <c r="D40" t="s">
        <v>28</v>
      </c>
      <c r="E40" t="s">
        <v>16</v>
      </c>
      <c r="F40">
        <v>3</v>
      </c>
      <c r="G40">
        <v>5000</v>
      </c>
    </row>
    <row r="41" spans="1:7" x14ac:dyDescent="0.3">
      <c r="A41" s="1">
        <v>46064</v>
      </c>
      <c r="B41" t="s">
        <v>10</v>
      </c>
      <c r="C41" t="s">
        <v>14</v>
      </c>
      <c r="D41" t="s">
        <v>15</v>
      </c>
      <c r="E41" t="s">
        <v>18</v>
      </c>
      <c r="F41">
        <v>18</v>
      </c>
      <c r="G41">
        <v>5000</v>
      </c>
    </row>
    <row r="42" spans="1:7" x14ac:dyDescent="0.3">
      <c r="A42" s="1">
        <v>46123</v>
      </c>
      <c r="B42" t="s">
        <v>10</v>
      </c>
      <c r="C42" t="s">
        <v>30</v>
      </c>
      <c r="D42" t="s">
        <v>11</v>
      </c>
      <c r="E42" t="s">
        <v>18</v>
      </c>
      <c r="F42">
        <v>2</v>
      </c>
      <c r="G42">
        <v>15000</v>
      </c>
    </row>
    <row r="43" spans="1:7" x14ac:dyDescent="0.3">
      <c r="A43" s="1">
        <v>46085</v>
      </c>
      <c r="B43" t="s">
        <v>10</v>
      </c>
      <c r="C43" t="s">
        <v>19</v>
      </c>
      <c r="D43" t="s">
        <v>27</v>
      </c>
      <c r="E43" t="s">
        <v>18</v>
      </c>
      <c r="F43">
        <v>14</v>
      </c>
      <c r="G43">
        <v>75000</v>
      </c>
    </row>
    <row r="44" spans="1:7" x14ac:dyDescent="0.3">
      <c r="A44" s="1">
        <v>46044</v>
      </c>
      <c r="B44" t="s">
        <v>31</v>
      </c>
      <c r="C44" t="s">
        <v>30</v>
      </c>
      <c r="D44" t="s">
        <v>26</v>
      </c>
      <c r="E44" t="s">
        <v>16</v>
      </c>
      <c r="F44">
        <v>5</v>
      </c>
      <c r="G44">
        <v>25000</v>
      </c>
    </row>
    <row r="45" spans="1:7" x14ac:dyDescent="0.3">
      <c r="A45" s="1">
        <v>46124</v>
      </c>
      <c r="B45" t="s">
        <v>31</v>
      </c>
      <c r="C45" t="s">
        <v>14</v>
      </c>
      <c r="D45" t="s">
        <v>17</v>
      </c>
      <c r="E45" t="s">
        <v>9</v>
      </c>
      <c r="F45">
        <v>4</v>
      </c>
      <c r="G45">
        <v>10000</v>
      </c>
    </row>
    <row r="46" spans="1:7" x14ac:dyDescent="0.3">
      <c r="A46" s="1">
        <v>46038</v>
      </c>
      <c r="B46" t="s">
        <v>31</v>
      </c>
      <c r="C46" t="s">
        <v>14</v>
      </c>
      <c r="D46" t="s">
        <v>17</v>
      </c>
      <c r="E46" t="s">
        <v>18</v>
      </c>
      <c r="F46">
        <v>5</v>
      </c>
      <c r="G46">
        <v>15000</v>
      </c>
    </row>
    <row r="47" spans="1:7" x14ac:dyDescent="0.3">
      <c r="A47" s="1">
        <v>46063</v>
      </c>
      <c r="B47" t="s">
        <v>10</v>
      </c>
      <c r="C47" t="s">
        <v>14</v>
      </c>
      <c r="D47" t="s">
        <v>21</v>
      </c>
      <c r="E47" t="s">
        <v>16</v>
      </c>
      <c r="F47">
        <v>4</v>
      </c>
      <c r="G47">
        <v>5000</v>
      </c>
    </row>
    <row r="48" spans="1:7" x14ac:dyDescent="0.3">
      <c r="A48" s="1">
        <v>46044</v>
      </c>
      <c r="B48" t="s">
        <v>25</v>
      </c>
      <c r="C48" t="s">
        <v>19</v>
      </c>
      <c r="D48" t="s">
        <v>20</v>
      </c>
      <c r="E48" t="s">
        <v>12</v>
      </c>
      <c r="F48">
        <v>12</v>
      </c>
      <c r="G48">
        <v>50000</v>
      </c>
    </row>
    <row r="49" spans="1:7" x14ac:dyDescent="0.3">
      <c r="A49" s="1">
        <v>46117</v>
      </c>
      <c r="B49" t="s">
        <v>25</v>
      </c>
      <c r="C49" t="s">
        <v>14</v>
      </c>
      <c r="D49" t="s">
        <v>17</v>
      </c>
      <c r="E49" t="s">
        <v>12</v>
      </c>
      <c r="F49">
        <v>5</v>
      </c>
      <c r="G49">
        <v>50000</v>
      </c>
    </row>
    <row r="50" spans="1:7" x14ac:dyDescent="0.3">
      <c r="A50" s="1">
        <v>46067</v>
      </c>
      <c r="B50" t="s">
        <v>31</v>
      </c>
      <c r="C50" t="s">
        <v>30</v>
      </c>
      <c r="D50" t="s">
        <v>11</v>
      </c>
      <c r="E50" t="s">
        <v>12</v>
      </c>
      <c r="F50">
        <v>1</v>
      </c>
      <c r="G50">
        <v>10000</v>
      </c>
    </row>
    <row r="51" spans="1:7" x14ac:dyDescent="0.3">
      <c r="A51" s="1">
        <v>46197</v>
      </c>
      <c r="B51" t="s">
        <v>29</v>
      </c>
      <c r="C51" t="s">
        <v>19</v>
      </c>
      <c r="D51" t="s">
        <v>28</v>
      </c>
      <c r="E51" t="s">
        <v>12</v>
      </c>
      <c r="F51">
        <v>12</v>
      </c>
      <c r="G51">
        <v>15000</v>
      </c>
    </row>
    <row r="52" spans="1:7" x14ac:dyDescent="0.3">
      <c r="A52" s="1">
        <v>46138</v>
      </c>
      <c r="B52" t="s">
        <v>29</v>
      </c>
      <c r="C52" t="s">
        <v>14</v>
      </c>
      <c r="D52" t="s">
        <v>21</v>
      </c>
      <c r="E52" t="s">
        <v>16</v>
      </c>
      <c r="F52">
        <v>11</v>
      </c>
      <c r="G52">
        <v>10000</v>
      </c>
    </row>
    <row r="53" spans="1:7" x14ac:dyDescent="0.3">
      <c r="A53" s="1">
        <v>46139</v>
      </c>
      <c r="B53" t="s">
        <v>29</v>
      </c>
      <c r="C53" t="s">
        <v>19</v>
      </c>
      <c r="D53" t="s">
        <v>27</v>
      </c>
      <c r="E53" t="s">
        <v>22</v>
      </c>
      <c r="F53">
        <v>2</v>
      </c>
      <c r="G53">
        <v>50000</v>
      </c>
    </row>
    <row r="54" spans="1:7" x14ac:dyDescent="0.3">
      <c r="A54" s="1">
        <v>46178</v>
      </c>
      <c r="B54" t="s">
        <v>10</v>
      </c>
      <c r="C54" t="s">
        <v>19</v>
      </c>
      <c r="D54" t="s">
        <v>20</v>
      </c>
      <c r="E54" t="s">
        <v>9</v>
      </c>
      <c r="F54">
        <v>9</v>
      </c>
      <c r="G54">
        <v>15000</v>
      </c>
    </row>
    <row r="55" spans="1:7" x14ac:dyDescent="0.3">
      <c r="A55" s="1">
        <v>46189</v>
      </c>
      <c r="B55" t="s">
        <v>13</v>
      </c>
      <c r="C55" t="s">
        <v>14</v>
      </c>
      <c r="D55" t="s">
        <v>15</v>
      </c>
      <c r="E55" t="s">
        <v>18</v>
      </c>
      <c r="F55">
        <v>16</v>
      </c>
      <c r="G55">
        <v>50000</v>
      </c>
    </row>
    <row r="56" spans="1:7" x14ac:dyDescent="0.3">
      <c r="A56" s="1">
        <v>46201</v>
      </c>
      <c r="B56" t="s">
        <v>25</v>
      </c>
      <c r="C56" t="s">
        <v>14</v>
      </c>
      <c r="D56" t="s">
        <v>15</v>
      </c>
      <c r="E56" t="s">
        <v>18</v>
      </c>
      <c r="F56">
        <v>5</v>
      </c>
      <c r="G56">
        <v>25000</v>
      </c>
    </row>
    <row r="57" spans="1:7" x14ac:dyDescent="0.3">
      <c r="A57" s="1">
        <v>46053</v>
      </c>
      <c r="B57" t="s">
        <v>29</v>
      </c>
      <c r="C57" t="s">
        <v>19</v>
      </c>
      <c r="D57" t="s">
        <v>28</v>
      </c>
      <c r="E57" t="s">
        <v>23</v>
      </c>
      <c r="F57">
        <v>5</v>
      </c>
      <c r="G57">
        <v>75000</v>
      </c>
    </row>
    <row r="58" spans="1:7" x14ac:dyDescent="0.3">
      <c r="A58" s="1">
        <v>46091</v>
      </c>
      <c r="B58" t="s">
        <v>10</v>
      </c>
      <c r="C58" t="s">
        <v>19</v>
      </c>
      <c r="D58" t="s">
        <v>20</v>
      </c>
      <c r="E58" t="s">
        <v>23</v>
      </c>
      <c r="F58">
        <v>6</v>
      </c>
      <c r="G58">
        <v>25000</v>
      </c>
    </row>
    <row r="59" spans="1:7" x14ac:dyDescent="0.3">
      <c r="A59" s="1">
        <v>46158</v>
      </c>
      <c r="B59" t="s">
        <v>13</v>
      </c>
      <c r="C59" t="s">
        <v>30</v>
      </c>
      <c r="D59" t="s">
        <v>11</v>
      </c>
      <c r="E59" t="s">
        <v>16</v>
      </c>
      <c r="F59">
        <v>2</v>
      </c>
      <c r="G59">
        <v>5000</v>
      </c>
    </row>
    <row r="60" spans="1:7" x14ac:dyDescent="0.3">
      <c r="A60" s="1">
        <v>46156</v>
      </c>
      <c r="B60" t="s">
        <v>25</v>
      </c>
      <c r="C60" t="s">
        <v>30</v>
      </c>
      <c r="D60" t="s">
        <v>11</v>
      </c>
      <c r="E60" t="s">
        <v>12</v>
      </c>
      <c r="F60">
        <v>3</v>
      </c>
      <c r="G60">
        <v>25000</v>
      </c>
    </row>
    <row r="61" spans="1:7" x14ac:dyDescent="0.3">
      <c r="A61" s="1">
        <v>46181</v>
      </c>
      <c r="B61" t="s">
        <v>29</v>
      </c>
      <c r="C61" t="s">
        <v>19</v>
      </c>
      <c r="D61" t="s">
        <v>20</v>
      </c>
      <c r="E61" t="s">
        <v>16</v>
      </c>
      <c r="F61">
        <v>11</v>
      </c>
      <c r="G61">
        <v>50000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6EF3-2632-4D80-87A6-A2AD2F89B01E}">
  <dimension ref="A1:J61"/>
  <sheetViews>
    <sheetView workbookViewId="0">
      <selection activeCell="J28" sqref="J28"/>
    </sheetView>
  </sheetViews>
  <sheetFormatPr defaultRowHeight="14.4" x14ac:dyDescent="0.3"/>
  <cols>
    <col min="1" max="1" width="10.33203125" bestFit="1" customWidth="1"/>
    <col min="2" max="2" width="10.5546875" customWidth="1"/>
    <col min="3" max="3" width="20.88671875" customWidth="1"/>
    <col min="4" max="4" width="15.109375" customWidth="1"/>
    <col min="5" max="5" width="13.6640625" customWidth="1"/>
    <col min="6" max="6" width="10.21875" customWidth="1"/>
    <col min="7" max="7" width="10.33203125" customWidth="1"/>
    <col min="8" max="8" width="10" customWidth="1"/>
    <col min="9" max="9" width="12.44140625" customWidth="1"/>
    <col min="10" max="10" width="28.5546875" customWidth="1"/>
  </cols>
  <sheetData>
    <row r="1" spans="1:10" x14ac:dyDescent="0.3">
      <c r="A1" s="2" t="s">
        <v>0</v>
      </c>
      <c r="B1" s="2" t="s">
        <v>33</v>
      </c>
      <c r="C1" s="2" t="s">
        <v>36</v>
      </c>
      <c r="D1" s="2" t="s">
        <v>3</v>
      </c>
      <c r="E1" s="2" t="s">
        <v>4</v>
      </c>
      <c r="F1" s="2" t="s">
        <v>5</v>
      </c>
      <c r="G1" s="3" t="s">
        <v>6</v>
      </c>
      <c r="H1" s="2" t="s">
        <v>7</v>
      </c>
      <c r="I1" s="2" t="s">
        <v>32</v>
      </c>
      <c r="J1" s="2" t="s">
        <v>48</v>
      </c>
    </row>
    <row r="2" spans="1:10" x14ac:dyDescent="0.3">
      <c r="A2" s="1">
        <v>46108</v>
      </c>
      <c r="B2" t="s">
        <v>34</v>
      </c>
      <c r="C2" t="s">
        <v>37</v>
      </c>
      <c r="D2" t="s">
        <v>8</v>
      </c>
      <c r="E2" t="s">
        <v>38</v>
      </c>
      <c r="F2">
        <v>15</v>
      </c>
      <c r="G2" s="4">
        <v>15000</v>
      </c>
      <c r="H2" s="4">
        <f>PRODUCT(F2,G2)</f>
        <v>225000</v>
      </c>
      <c r="I2" t="str">
        <f>IF(H2&lt;100000,"Low Sales","High Sales")</f>
        <v>High Sales</v>
      </c>
      <c r="J2" t="str">
        <f>LOWER(_xlfn.CONCAT(SUBSTITUTE(E2," ",""),B2,F2,"@gmail.com"))</f>
        <v>adewalegracekano15@gmail.com</v>
      </c>
    </row>
    <row r="3" spans="1:10" x14ac:dyDescent="0.3">
      <c r="A3" s="1">
        <v>46149</v>
      </c>
      <c r="B3" t="s">
        <v>10</v>
      </c>
      <c r="C3" t="s">
        <v>37</v>
      </c>
      <c r="D3" t="s">
        <v>11</v>
      </c>
      <c r="E3" t="s">
        <v>12</v>
      </c>
      <c r="F3">
        <v>16</v>
      </c>
      <c r="G3" s="4">
        <v>15000</v>
      </c>
      <c r="H3" s="4">
        <f t="shared" ref="H3:H61" si="0">PRODUCT(F3,G3)</f>
        <v>240000</v>
      </c>
      <c r="I3" t="str">
        <f t="shared" ref="I3:I61" si="1">IF(H3&lt;100000,"Low Sales","High Sales")</f>
        <v>High Sales</v>
      </c>
      <c r="J3" t="str">
        <f>LOWER(_xlfn.CONCAT(SUBSTITUTE(E3," ",""),B3,F3,"@gmail.com"))</f>
        <v>maryoyo16@gmail.com</v>
      </c>
    </row>
    <row r="4" spans="1:10" x14ac:dyDescent="0.3">
      <c r="A4" s="1">
        <v>46025</v>
      </c>
      <c r="B4" t="s">
        <v>13</v>
      </c>
      <c r="C4" t="s">
        <v>14</v>
      </c>
      <c r="D4" t="s">
        <v>15</v>
      </c>
      <c r="E4" t="s">
        <v>16</v>
      </c>
      <c r="F4">
        <v>18</v>
      </c>
      <c r="G4" s="4">
        <v>75000</v>
      </c>
      <c r="H4" s="4">
        <f t="shared" si="0"/>
        <v>1350000</v>
      </c>
      <c r="I4" t="str">
        <f t="shared" si="1"/>
        <v>High Sales</v>
      </c>
      <c r="J4" t="str">
        <f t="shared" ref="J4:J61" si="2">LOWER(_xlfn.CONCAT(SUBSTITUTE(E4," ",""),B4,F4,"@gmail.com"))</f>
        <v>daniellagos18@gmail.com</v>
      </c>
    </row>
    <row r="5" spans="1:10" x14ac:dyDescent="0.3">
      <c r="A5" s="1">
        <v>46041</v>
      </c>
      <c r="B5" t="s">
        <v>34</v>
      </c>
      <c r="C5" t="s">
        <v>14</v>
      </c>
      <c r="D5" t="s">
        <v>17</v>
      </c>
      <c r="E5" t="s">
        <v>18</v>
      </c>
      <c r="F5">
        <v>10</v>
      </c>
      <c r="G5" s="4">
        <v>10000</v>
      </c>
      <c r="H5" s="4">
        <f t="shared" si="0"/>
        <v>100000</v>
      </c>
      <c r="I5" t="str">
        <f t="shared" si="1"/>
        <v>High Sales</v>
      </c>
      <c r="J5" t="str">
        <f t="shared" si="2"/>
        <v>usmankano10@gmail.com</v>
      </c>
    </row>
    <row r="6" spans="1:10" x14ac:dyDescent="0.3">
      <c r="A6" s="1">
        <v>46104</v>
      </c>
      <c r="B6" t="s">
        <v>10</v>
      </c>
      <c r="C6" t="s">
        <v>19</v>
      </c>
      <c r="D6" t="s">
        <v>20</v>
      </c>
      <c r="E6" t="s">
        <v>18</v>
      </c>
      <c r="F6">
        <v>8</v>
      </c>
      <c r="G6" s="4">
        <v>25000</v>
      </c>
      <c r="H6" s="4">
        <f t="shared" si="0"/>
        <v>200000</v>
      </c>
      <c r="I6" t="str">
        <f t="shared" si="1"/>
        <v>High Sales</v>
      </c>
      <c r="J6" t="str">
        <f t="shared" si="2"/>
        <v>usmanoyo8@gmail.com</v>
      </c>
    </row>
    <row r="7" spans="1:10" x14ac:dyDescent="0.3">
      <c r="A7" s="1">
        <v>46079</v>
      </c>
      <c r="B7" t="s">
        <v>35</v>
      </c>
      <c r="C7" t="s">
        <v>14</v>
      </c>
      <c r="D7" t="s">
        <v>21</v>
      </c>
      <c r="E7" t="s">
        <v>22</v>
      </c>
      <c r="F7">
        <v>19</v>
      </c>
      <c r="G7" s="4">
        <v>10000</v>
      </c>
      <c r="H7" s="4">
        <f t="shared" si="0"/>
        <v>190000</v>
      </c>
      <c r="I7" t="str">
        <f t="shared" si="1"/>
        <v>High Sales</v>
      </c>
      <c r="J7" t="str">
        <f t="shared" si="2"/>
        <v>davidogun19@gmail.com</v>
      </c>
    </row>
    <row r="8" spans="1:10" x14ac:dyDescent="0.3">
      <c r="A8" s="1">
        <v>46068</v>
      </c>
      <c r="B8" t="s">
        <v>34</v>
      </c>
      <c r="C8" t="s">
        <v>14</v>
      </c>
      <c r="D8" t="s">
        <v>17</v>
      </c>
      <c r="E8" t="s">
        <v>23</v>
      </c>
      <c r="F8">
        <v>1</v>
      </c>
      <c r="G8" s="4">
        <v>5000</v>
      </c>
      <c r="H8" s="4">
        <f t="shared" si="0"/>
        <v>5000</v>
      </c>
      <c r="I8" t="str">
        <f t="shared" si="1"/>
        <v>Low Sales</v>
      </c>
      <c r="J8" t="str">
        <f t="shared" si="2"/>
        <v>aishakano1@gmail.com</v>
      </c>
    </row>
    <row r="9" spans="1:10" x14ac:dyDescent="0.3">
      <c r="A9" s="1">
        <v>46152</v>
      </c>
      <c r="B9" t="s">
        <v>24</v>
      </c>
      <c r="C9" t="s">
        <v>14</v>
      </c>
      <c r="D9" t="s">
        <v>17</v>
      </c>
      <c r="E9" t="s">
        <v>16</v>
      </c>
      <c r="F9">
        <v>1</v>
      </c>
      <c r="G9" s="4">
        <v>5000</v>
      </c>
      <c r="H9" s="4">
        <f t="shared" si="0"/>
        <v>5000</v>
      </c>
      <c r="I9" t="str">
        <f t="shared" si="1"/>
        <v>Low Sales</v>
      </c>
      <c r="J9" t="str">
        <f t="shared" si="2"/>
        <v>danielrivers1@gmail.com</v>
      </c>
    </row>
    <row r="10" spans="1:10" x14ac:dyDescent="0.3">
      <c r="A10" s="1">
        <v>46101</v>
      </c>
      <c r="B10" t="s">
        <v>34</v>
      </c>
      <c r="C10" t="s">
        <v>37</v>
      </c>
      <c r="D10" t="s">
        <v>11</v>
      </c>
      <c r="E10" t="s">
        <v>22</v>
      </c>
      <c r="F10">
        <v>3</v>
      </c>
      <c r="G10" s="4">
        <v>5000</v>
      </c>
      <c r="H10" s="4">
        <f t="shared" si="0"/>
        <v>15000</v>
      </c>
      <c r="I10" t="str">
        <f t="shared" si="1"/>
        <v>Low Sales</v>
      </c>
      <c r="J10" t="str">
        <f t="shared" si="2"/>
        <v>davidkano3@gmail.com</v>
      </c>
    </row>
    <row r="11" spans="1:10" x14ac:dyDescent="0.3">
      <c r="A11" s="1">
        <v>46095</v>
      </c>
      <c r="B11" t="s">
        <v>13</v>
      </c>
      <c r="C11" t="s">
        <v>19</v>
      </c>
      <c r="D11" t="s">
        <v>20</v>
      </c>
      <c r="E11" t="s">
        <v>22</v>
      </c>
      <c r="F11">
        <v>10</v>
      </c>
      <c r="G11" s="4">
        <v>50000</v>
      </c>
      <c r="H11" s="4">
        <f t="shared" si="0"/>
        <v>500000</v>
      </c>
      <c r="I11" t="str">
        <f t="shared" si="1"/>
        <v>High Sales</v>
      </c>
      <c r="J11" t="str">
        <f t="shared" si="2"/>
        <v>davidlagos10@gmail.com</v>
      </c>
    </row>
    <row r="12" spans="1:10" x14ac:dyDescent="0.3">
      <c r="A12" s="1">
        <v>46034</v>
      </c>
      <c r="B12" t="s">
        <v>25</v>
      </c>
      <c r="C12" t="s">
        <v>37</v>
      </c>
      <c r="D12" t="s">
        <v>26</v>
      </c>
      <c r="E12" t="s">
        <v>23</v>
      </c>
      <c r="F12">
        <v>5</v>
      </c>
      <c r="G12" s="4">
        <v>10000</v>
      </c>
      <c r="H12" s="4">
        <f t="shared" si="0"/>
        <v>50000</v>
      </c>
      <c r="I12" t="str">
        <f t="shared" si="1"/>
        <v>Low Sales</v>
      </c>
      <c r="J12" t="str">
        <f t="shared" si="2"/>
        <v>aishaabuja5@gmail.com</v>
      </c>
    </row>
    <row r="13" spans="1:10" x14ac:dyDescent="0.3">
      <c r="A13" s="1">
        <v>46188</v>
      </c>
      <c r="B13" t="s">
        <v>35</v>
      </c>
      <c r="C13" t="s">
        <v>19</v>
      </c>
      <c r="D13" t="s">
        <v>27</v>
      </c>
      <c r="E13" t="s">
        <v>16</v>
      </c>
      <c r="F13">
        <v>2</v>
      </c>
      <c r="G13" s="4">
        <v>75000</v>
      </c>
      <c r="H13" s="4">
        <f t="shared" si="0"/>
        <v>150000</v>
      </c>
      <c r="I13" t="str">
        <f t="shared" si="1"/>
        <v>High Sales</v>
      </c>
      <c r="J13" t="str">
        <f t="shared" si="2"/>
        <v>danielogun2@gmail.com</v>
      </c>
    </row>
    <row r="14" spans="1:10" x14ac:dyDescent="0.3">
      <c r="A14" s="1">
        <v>46067</v>
      </c>
      <c r="B14" t="s">
        <v>24</v>
      </c>
      <c r="C14" t="s">
        <v>14</v>
      </c>
      <c r="D14" t="s">
        <v>15</v>
      </c>
      <c r="E14" t="s">
        <v>38</v>
      </c>
      <c r="F14">
        <v>9</v>
      </c>
      <c r="G14" s="4">
        <v>25000</v>
      </c>
      <c r="H14" s="4">
        <f t="shared" si="0"/>
        <v>225000</v>
      </c>
      <c r="I14" t="str">
        <f t="shared" si="1"/>
        <v>High Sales</v>
      </c>
      <c r="J14" t="str">
        <f t="shared" si="2"/>
        <v>adewalegracerivers9@gmail.com</v>
      </c>
    </row>
    <row r="15" spans="1:10" x14ac:dyDescent="0.3">
      <c r="A15" s="1">
        <v>46116</v>
      </c>
      <c r="B15" t="s">
        <v>10</v>
      </c>
      <c r="C15" t="s">
        <v>19</v>
      </c>
      <c r="D15" t="s">
        <v>20</v>
      </c>
      <c r="E15" t="s">
        <v>23</v>
      </c>
      <c r="F15">
        <v>9</v>
      </c>
      <c r="G15" s="4">
        <v>75000</v>
      </c>
      <c r="H15" s="4">
        <f t="shared" si="0"/>
        <v>675000</v>
      </c>
      <c r="I15" t="str">
        <f t="shared" si="1"/>
        <v>High Sales</v>
      </c>
      <c r="J15" t="str">
        <f t="shared" si="2"/>
        <v>aishaoyo9@gmail.com</v>
      </c>
    </row>
    <row r="16" spans="1:10" x14ac:dyDescent="0.3">
      <c r="A16" s="1">
        <v>46147</v>
      </c>
      <c r="B16" t="s">
        <v>10</v>
      </c>
      <c r="C16" t="s">
        <v>19</v>
      </c>
      <c r="D16" t="s">
        <v>20</v>
      </c>
      <c r="E16" t="s">
        <v>22</v>
      </c>
      <c r="F16">
        <v>11</v>
      </c>
      <c r="G16" s="4">
        <v>25000</v>
      </c>
      <c r="H16" s="4">
        <f t="shared" si="0"/>
        <v>275000</v>
      </c>
      <c r="I16" t="str">
        <f t="shared" si="1"/>
        <v>High Sales</v>
      </c>
      <c r="J16" t="str">
        <f t="shared" si="2"/>
        <v>davidoyo11@gmail.com</v>
      </c>
    </row>
    <row r="17" spans="1:10" x14ac:dyDescent="0.3">
      <c r="A17" s="1">
        <v>46044</v>
      </c>
      <c r="B17" t="s">
        <v>34</v>
      </c>
      <c r="C17" t="s">
        <v>37</v>
      </c>
      <c r="D17" t="s">
        <v>26</v>
      </c>
      <c r="E17" t="s">
        <v>22</v>
      </c>
      <c r="F17">
        <v>17</v>
      </c>
      <c r="G17" s="4">
        <v>5000</v>
      </c>
      <c r="H17" s="4">
        <f t="shared" si="0"/>
        <v>85000</v>
      </c>
      <c r="I17" t="str">
        <f t="shared" si="1"/>
        <v>Low Sales</v>
      </c>
      <c r="J17" t="str">
        <f t="shared" si="2"/>
        <v>davidkano17@gmail.com</v>
      </c>
    </row>
    <row r="18" spans="1:10" x14ac:dyDescent="0.3">
      <c r="A18" s="1">
        <v>46130</v>
      </c>
      <c r="B18" t="s">
        <v>35</v>
      </c>
      <c r="C18" t="s">
        <v>37</v>
      </c>
      <c r="D18" t="s">
        <v>11</v>
      </c>
      <c r="E18" t="s">
        <v>16</v>
      </c>
      <c r="F18">
        <v>20</v>
      </c>
      <c r="G18" s="4">
        <v>15000</v>
      </c>
      <c r="H18" s="4">
        <f t="shared" si="0"/>
        <v>300000</v>
      </c>
      <c r="I18" t="str">
        <f t="shared" si="1"/>
        <v>High Sales</v>
      </c>
      <c r="J18" t="str">
        <f t="shared" si="2"/>
        <v>danielogun20@gmail.com</v>
      </c>
    </row>
    <row r="19" spans="1:10" x14ac:dyDescent="0.3">
      <c r="A19" s="1">
        <v>46102</v>
      </c>
      <c r="B19" t="s">
        <v>25</v>
      </c>
      <c r="C19" t="s">
        <v>14</v>
      </c>
      <c r="D19" t="s">
        <v>15</v>
      </c>
      <c r="E19" t="s">
        <v>23</v>
      </c>
      <c r="F19">
        <v>4</v>
      </c>
      <c r="G19" s="4">
        <v>5000</v>
      </c>
      <c r="H19" s="4">
        <f t="shared" si="0"/>
        <v>20000</v>
      </c>
      <c r="I19" t="str">
        <f t="shared" si="1"/>
        <v>Low Sales</v>
      </c>
      <c r="J19" t="str">
        <f t="shared" si="2"/>
        <v>aishaabuja4@gmail.com</v>
      </c>
    </row>
    <row r="20" spans="1:10" x14ac:dyDescent="0.3">
      <c r="A20" s="1">
        <v>46143</v>
      </c>
      <c r="B20" t="s">
        <v>34</v>
      </c>
      <c r="C20" t="s">
        <v>19</v>
      </c>
      <c r="D20" t="s">
        <v>27</v>
      </c>
      <c r="E20" t="s">
        <v>16</v>
      </c>
      <c r="F20">
        <v>4</v>
      </c>
      <c r="G20" s="4">
        <v>50000</v>
      </c>
      <c r="H20" s="4">
        <f t="shared" si="0"/>
        <v>200000</v>
      </c>
      <c r="I20" t="str">
        <f t="shared" si="1"/>
        <v>High Sales</v>
      </c>
      <c r="J20" t="str">
        <f t="shared" si="2"/>
        <v>danielkano4@gmail.com</v>
      </c>
    </row>
    <row r="21" spans="1:10" x14ac:dyDescent="0.3">
      <c r="A21" s="1">
        <v>46181</v>
      </c>
      <c r="B21" t="s">
        <v>24</v>
      </c>
      <c r="C21" t="s">
        <v>37</v>
      </c>
      <c r="D21" t="s">
        <v>11</v>
      </c>
      <c r="E21" t="s">
        <v>18</v>
      </c>
      <c r="F21">
        <v>16</v>
      </c>
      <c r="G21" s="4">
        <v>10000</v>
      </c>
      <c r="H21" s="4">
        <f t="shared" si="0"/>
        <v>160000</v>
      </c>
      <c r="I21" t="str">
        <f t="shared" si="1"/>
        <v>High Sales</v>
      </c>
      <c r="J21" t="str">
        <f t="shared" si="2"/>
        <v>usmanrivers16@gmail.com</v>
      </c>
    </row>
    <row r="22" spans="1:10" x14ac:dyDescent="0.3">
      <c r="A22" s="1">
        <v>46091</v>
      </c>
      <c r="B22" t="s">
        <v>35</v>
      </c>
      <c r="C22" t="s">
        <v>37</v>
      </c>
      <c r="D22" t="s">
        <v>11</v>
      </c>
      <c r="E22" t="s">
        <v>18</v>
      </c>
      <c r="F22">
        <v>13</v>
      </c>
      <c r="G22" s="4">
        <v>50000</v>
      </c>
      <c r="H22" s="4">
        <f t="shared" si="0"/>
        <v>650000</v>
      </c>
      <c r="I22" t="str">
        <f t="shared" si="1"/>
        <v>High Sales</v>
      </c>
      <c r="J22" t="str">
        <f t="shared" si="2"/>
        <v>usmanogun13@gmail.com</v>
      </c>
    </row>
    <row r="23" spans="1:10" x14ac:dyDescent="0.3">
      <c r="A23" s="1">
        <v>46039</v>
      </c>
      <c r="B23" t="s">
        <v>25</v>
      </c>
      <c r="C23" t="s">
        <v>19</v>
      </c>
      <c r="D23" t="s">
        <v>20</v>
      </c>
      <c r="E23" t="s">
        <v>38</v>
      </c>
      <c r="F23">
        <v>18</v>
      </c>
      <c r="G23" s="4">
        <v>10000</v>
      </c>
      <c r="H23" s="4">
        <f t="shared" si="0"/>
        <v>180000</v>
      </c>
      <c r="I23" t="str">
        <f t="shared" si="1"/>
        <v>High Sales</v>
      </c>
      <c r="J23" t="str">
        <f t="shared" si="2"/>
        <v>adewalegraceabuja18@gmail.com</v>
      </c>
    </row>
    <row r="24" spans="1:10" x14ac:dyDescent="0.3">
      <c r="A24" s="1">
        <v>46056</v>
      </c>
      <c r="B24" t="s">
        <v>24</v>
      </c>
      <c r="C24" t="s">
        <v>37</v>
      </c>
      <c r="D24" t="s">
        <v>8</v>
      </c>
      <c r="E24" t="s">
        <v>38</v>
      </c>
      <c r="F24">
        <v>7</v>
      </c>
      <c r="G24" s="4">
        <v>75000</v>
      </c>
      <c r="H24" s="4">
        <f t="shared" si="0"/>
        <v>525000</v>
      </c>
      <c r="I24" t="str">
        <f t="shared" si="1"/>
        <v>High Sales</v>
      </c>
      <c r="J24" t="str">
        <f t="shared" si="2"/>
        <v>adewalegracerivers7@gmail.com</v>
      </c>
    </row>
    <row r="25" spans="1:10" x14ac:dyDescent="0.3">
      <c r="A25" s="1">
        <v>46026</v>
      </c>
      <c r="B25" t="s">
        <v>13</v>
      </c>
      <c r="C25" t="s">
        <v>37</v>
      </c>
      <c r="D25" t="s">
        <v>8</v>
      </c>
      <c r="E25" t="s">
        <v>18</v>
      </c>
      <c r="F25">
        <v>3</v>
      </c>
      <c r="G25" s="4">
        <v>50000</v>
      </c>
      <c r="H25" s="4">
        <f t="shared" si="0"/>
        <v>150000</v>
      </c>
      <c r="I25" t="str">
        <f t="shared" si="1"/>
        <v>High Sales</v>
      </c>
      <c r="J25" t="str">
        <f t="shared" si="2"/>
        <v>usmanlagos3@gmail.com</v>
      </c>
    </row>
    <row r="26" spans="1:10" x14ac:dyDescent="0.3">
      <c r="A26" s="1">
        <v>46096</v>
      </c>
      <c r="B26" t="s">
        <v>10</v>
      </c>
      <c r="C26" t="s">
        <v>37</v>
      </c>
      <c r="D26" t="s">
        <v>11</v>
      </c>
      <c r="E26" t="s">
        <v>12</v>
      </c>
      <c r="F26">
        <v>4</v>
      </c>
      <c r="G26" s="4">
        <v>10000</v>
      </c>
      <c r="H26" s="4">
        <f t="shared" si="0"/>
        <v>40000</v>
      </c>
      <c r="I26" t="str">
        <f t="shared" si="1"/>
        <v>Low Sales</v>
      </c>
      <c r="J26" t="str">
        <f t="shared" si="2"/>
        <v>maryoyo4@gmail.com</v>
      </c>
    </row>
    <row r="27" spans="1:10" x14ac:dyDescent="0.3">
      <c r="A27" s="1">
        <v>46178</v>
      </c>
      <c r="B27" t="s">
        <v>25</v>
      </c>
      <c r="C27" t="s">
        <v>19</v>
      </c>
      <c r="D27" t="s">
        <v>27</v>
      </c>
      <c r="E27" t="s">
        <v>22</v>
      </c>
      <c r="F27">
        <v>15</v>
      </c>
      <c r="G27" s="4">
        <v>75000</v>
      </c>
      <c r="H27" s="4">
        <f t="shared" si="0"/>
        <v>1125000</v>
      </c>
      <c r="I27" t="str">
        <f t="shared" si="1"/>
        <v>High Sales</v>
      </c>
      <c r="J27" t="str">
        <f t="shared" si="2"/>
        <v>davidabuja15@gmail.com</v>
      </c>
    </row>
    <row r="28" spans="1:10" x14ac:dyDescent="0.3">
      <c r="A28" s="1">
        <v>46133</v>
      </c>
      <c r="B28" t="s">
        <v>13</v>
      </c>
      <c r="C28" t="s">
        <v>14</v>
      </c>
      <c r="D28" t="s">
        <v>15</v>
      </c>
      <c r="E28" t="s">
        <v>23</v>
      </c>
      <c r="F28">
        <v>1</v>
      </c>
      <c r="G28" s="4">
        <v>50000</v>
      </c>
      <c r="H28" s="4">
        <f t="shared" si="0"/>
        <v>50000</v>
      </c>
      <c r="I28" t="str">
        <f t="shared" si="1"/>
        <v>Low Sales</v>
      </c>
      <c r="J28" t="str">
        <f t="shared" si="2"/>
        <v>aishalagos1@gmail.com</v>
      </c>
    </row>
    <row r="29" spans="1:10" x14ac:dyDescent="0.3">
      <c r="A29" s="1">
        <v>46035</v>
      </c>
      <c r="B29" t="s">
        <v>34</v>
      </c>
      <c r="C29" t="s">
        <v>14</v>
      </c>
      <c r="D29" t="s">
        <v>15</v>
      </c>
      <c r="E29" t="s">
        <v>12</v>
      </c>
      <c r="F29">
        <v>4</v>
      </c>
      <c r="G29" s="4">
        <v>10000</v>
      </c>
      <c r="H29" s="4">
        <f t="shared" si="0"/>
        <v>40000</v>
      </c>
      <c r="I29" t="str">
        <f t="shared" si="1"/>
        <v>Low Sales</v>
      </c>
      <c r="J29" t="str">
        <f t="shared" si="2"/>
        <v>marykano4@gmail.com</v>
      </c>
    </row>
    <row r="30" spans="1:10" x14ac:dyDescent="0.3">
      <c r="A30" s="1">
        <v>46183</v>
      </c>
      <c r="B30" t="s">
        <v>10</v>
      </c>
      <c r="C30" t="s">
        <v>14</v>
      </c>
      <c r="D30" t="s">
        <v>17</v>
      </c>
      <c r="E30" t="s">
        <v>16</v>
      </c>
      <c r="F30">
        <v>15</v>
      </c>
      <c r="G30" s="4">
        <v>25000</v>
      </c>
      <c r="H30" s="4">
        <f t="shared" si="0"/>
        <v>375000</v>
      </c>
      <c r="I30" t="str">
        <f t="shared" si="1"/>
        <v>High Sales</v>
      </c>
      <c r="J30" t="str">
        <f t="shared" si="2"/>
        <v>danieloyo15@gmail.com</v>
      </c>
    </row>
    <row r="31" spans="1:10" x14ac:dyDescent="0.3">
      <c r="A31" s="1">
        <v>46101</v>
      </c>
      <c r="B31" t="s">
        <v>24</v>
      </c>
      <c r="C31" t="s">
        <v>37</v>
      </c>
      <c r="D31" t="s">
        <v>11</v>
      </c>
      <c r="E31" t="s">
        <v>23</v>
      </c>
      <c r="F31">
        <v>11</v>
      </c>
      <c r="G31" s="4">
        <v>5000</v>
      </c>
      <c r="H31" s="4">
        <f t="shared" si="0"/>
        <v>55000</v>
      </c>
      <c r="I31" t="str">
        <f t="shared" si="1"/>
        <v>Low Sales</v>
      </c>
      <c r="J31" t="str">
        <f t="shared" si="2"/>
        <v>aisharivers11@gmail.com</v>
      </c>
    </row>
    <row r="32" spans="1:10" x14ac:dyDescent="0.3">
      <c r="A32" s="1">
        <v>46152</v>
      </c>
      <c r="B32" t="s">
        <v>24</v>
      </c>
      <c r="C32" t="s">
        <v>14</v>
      </c>
      <c r="D32" t="s">
        <v>15</v>
      </c>
      <c r="E32" t="s">
        <v>22</v>
      </c>
      <c r="F32">
        <v>3</v>
      </c>
      <c r="G32" s="4">
        <v>15000</v>
      </c>
      <c r="H32" s="4">
        <f t="shared" si="0"/>
        <v>45000</v>
      </c>
      <c r="I32" t="str">
        <f t="shared" si="1"/>
        <v>Low Sales</v>
      </c>
      <c r="J32" t="str">
        <f t="shared" si="2"/>
        <v>davidrivers3@gmail.com</v>
      </c>
    </row>
    <row r="33" spans="1:10" x14ac:dyDescent="0.3">
      <c r="A33" s="1">
        <v>46048</v>
      </c>
      <c r="B33" t="s">
        <v>13</v>
      </c>
      <c r="C33" t="s">
        <v>19</v>
      </c>
      <c r="D33" t="s">
        <v>27</v>
      </c>
      <c r="E33" t="s">
        <v>22</v>
      </c>
      <c r="F33">
        <v>10</v>
      </c>
      <c r="G33" s="4">
        <v>75000</v>
      </c>
      <c r="H33" s="4">
        <f t="shared" si="0"/>
        <v>750000</v>
      </c>
      <c r="I33" t="str">
        <f t="shared" si="1"/>
        <v>High Sales</v>
      </c>
      <c r="J33" t="str">
        <f t="shared" si="2"/>
        <v>davidlagos10@gmail.com</v>
      </c>
    </row>
    <row r="34" spans="1:10" x14ac:dyDescent="0.3">
      <c r="A34" s="1">
        <v>46057</v>
      </c>
      <c r="B34" t="s">
        <v>10</v>
      </c>
      <c r="C34" t="s">
        <v>19</v>
      </c>
      <c r="D34" t="s">
        <v>20</v>
      </c>
      <c r="E34" t="s">
        <v>12</v>
      </c>
      <c r="F34">
        <v>20</v>
      </c>
      <c r="G34" s="4">
        <v>50000</v>
      </c>
      <c r="H34" s="4">
        <f t="shared" si="0"/>
        <v>1000000</v>
      </c>
      <c r="I34" t="str">
        <f t="shared" si="1"/>
        <v>High Sales</v>
      </c>
      <c r="J34" t="str">
        <f t="shared" si="2"/>
        <v>maryoyo20@gmail.com</v>
      </c>
    </row>
    <row r="35" spans="1:10" x14ac:dyDescent="0.3">
      <c r="A35" s="1">
        <v>46178</v>
      </c>
      <c r="B35" t="s">
        <v>25</v>
      </c>
      <c r="C35" t="s">
        <v>37</v>
      </c>
      <c r="D35" t="s">
        <v>26</v>
      </c>
      <c r="E35" t="s">
        <v>16</v>
      </c>
      <c r="F35">
        <v>17</v>
      </c>
      <c r="G35" s="4">
        <v>25000</v>
      </c>
      <c r="H35" s="4">
        <f t="shared" si="0"/>
        <v>425000</v>
      </c>
      <c r="I35" t="str">
        <f t="shared" si="1"/>
        <v>High Sales</v>
      </c>
      <c r="J35" t="str">
        <f t="shared" si="2"/>
        <v>danielabuja17@gmail.com</v>
      </c>
    </row>
    <row r="36" spans="1:10" x14ac:dyDescent="0.3">
      <c r="A36" s="1">
        <v>46031</v>
      </c>
      <c r="B36" t="s">
        <v>35</v>
      </c>
      <c r="C36" t="s">
        <v>14</v>
      </c>
      <c r="D36" t="s">
        <v>21</v>
      </c>
      <c r="E36" t="s">
        <v>23</v>
      </c>
      <c r="F36">
        <v>11</v>
      </c>
      <c r="G36" s="4">
        <v>25000</v>
      </c>
      <c r="H36" s="4">
        <f t="shared" si="0"/>
        <v>275000</v>
      </c>
      <c r="I36" t="str">
        <f t="shared" si="1"/>
        <v>High Sales</v>
      </c>
      <c r="J36" t="str">
        <f t="shared" si="2"/>
        <v>aishaogun11@gmail.com</v>
      </c>
    </row>
    <row r="37" spans="1:10" x14ac:dyDescent="0.3">
      <c r="A37" s="1">
        <v>46051</v>
      </c>
      <c r="B37" t="s">
        <v>13</v>
      </c>
      <c r="C37" t="s">
        <v>14</v>
      </c>
      <c r="D37" t="s">
        <v>17</v>
      </c>
      <c r="E37" t="s">
        <v>16</v>
      </c>
      <c r="F37">
        <v>7</v>
      </c>
      <c r="G37" s="4">
        <v>50000</v>
      </c>
      <c r="H37" s="4">
        <f t="shared" si="0"/>
        <v>350000</v>
      </c>
      <c r="I37" t="str">
        <f t="shared" si="1"/>
        <v>High Sales</v>
      </c>
      <c r="J37" t="str">
        <f t="shared" si="2"/>
        <v>daniellagos7@gmail.com</v>
      </c>
    </row>
    <row r="38" spans="1:10" x14ac:dyDescent="0.3">
      <c r="A38" s="1">
        <v>46198</v>
      </c>
      <c r="B38" t="s">
        <v>25</v>
      </c>
      <c r="C38" t="s">
        <v>37</v>
      </c>
      <c r="D38" t="s">
        <v>11</v>
      </c>
      <c r="E38" t="s">
        <v>38</v>
      </c>
      <c r="F38">
        <v>15</v>
      </c>
      <c r="G38" s="4">
        <v>75000</v>
      </c>
      <c r="H38" s="4">
        <f t="shared" si="0"/>
        <v>1125000</v>
      </c>
      <c r="I38" t="str">
        <f t="shared" si="1"/>
        <v>High Sales</v>
      </c>
      <c r="J38" t="str">
        <f t="shared" si="2"/>
        <v>adewalegraceabuja15@gmail.com</v>
      </c>
    </row>
    <row r="39" spans="1:10" x14ac:dyDescent="0.3">
      <c r="A39" s="1">
        <v>46043</v>
      </c>
      <c r="B39" t="s">
        <v>10</v>
      </c>
      <c r="C39" t="s">
        <v>14</v>
      </c>
      <c r="D39" t="s">
        <v>15</v>
      </c>
      <c r="E39" t="s">
        <v>22</v>
      </c>
      <c r="F39">
        <v>14</v>
      </c>
      <c r="G39" s="4">
        <v>50000</v>
      </c>
      <c r="H39" s="4">
        <f t="shared" si="0"/>
        <v>700000</v>
      </c>
      <c r="I39" t="str">
        <f t="shared" si="1"/>
        <v>High Sales</v>
      </c>
      <c r="J39" t="str">
        <f t="shared" si="2"/>
        <v>davidoyo14@gmail.com</v>
      </c>
    </row>
    <row r="40" spans="1:10" x14ac:dyDescent="0.3">
      <c r="A40" s="1">
        <v>46139</v>
      </c>
      <c r="B40" t="s">
        <v>34</v>
      </c>
      <c r="C40" t="s">
        <v>19</v>
      </c>
      <c r="D40" t="s">
        <v>28</v>
      </c>
      <c r="E40" t="s">
        <v>16</v>
      </c>
      <c r="F40">
        <v>3</v>
      </c>
      <c r="G40" s="4">
        <v>5000</v>
      </c>
      <c r="H40" s="4">
        <f t="shared" si="0"/>
        <v>15000</v>
      </c>
      <c r="I40" t="str">
        <f t="shared" si="1"/>
        <v>Low Sales</v>
      </c>
      <c r="J40" t="str">
        <f t="shared" si="2"/>
        <v>danielkano3@gmail.com</v>
      </c>
    </row>
    <row r="41" spans="1:10" x14ac:dyDescent="0.3">
      <c r="A41" s="1">
        <v>46064</v>
      </c>
      <c r="B41" t="s">
        <v>10</v>
      </c>
      <c r="C41" t="s">
        <v>14</v>
      </c>
      <c r="D41" t="s">
        <v>15</v>
      </c>
      <c r="E41" t="s">
        <v>18</v>
      </c>
      <c r="F41">
        <v>18</v>
      </c>
      <c r="G41" s="4">
        <v>5000</v>
      </c>
      <c r="H41" s="4">
        <f t="shared" si="0"/>
        <v>90000</v>
      </c>
      <c r="I41" t="str">
        <f t="shared" si="1"/>
        <v>Low Sales</v>
      </c>
      <c r="J41" t="str">
        <f t="shared" si="2"/>
        <v>usmanoyo18@gmail.com</v>
      </c>
    </row>
    <row r="42" spans="1:10" x14ac:dyDescent="0.3">
      <c r="A42" s="1">
        <v>46123</v>
      </c>
      <c r="B42" t="s">
        <v>10</v>
      </c>
      <c r="C42" t="s">
        <v>37</v>
      </c>
      <c r="D42" t="s">
        <v>11</v>
      </c>
      <c r="E42" t="s">
        <v>18</v>
      </c>
      <c r="F42">
        <v>2</v>
      </c>
      <c r="G42" s="4">
        <v>15000</v>
      </c>
      <c r="H42" s="4">
        <f t="shared" si="0"/>
        <v>30000</v>
      </c>
      <c r="I42" t="str">
        <f t="shared" si="1"/>
        <v>Low Sales</v>
      </c>
      <c r="J42" t="str">
        <f t="shared" si="2"/>
        <v>usmanoyo2@gmail.com</v>
      </c>
    </row>
    <row r="43" spans="1:10" x14ac:dyDescent="0.3">
      <c r="A43" s="1">
        <v>46085</v>
      </c>
      <c r="B43" t="s">
        <v>10</v>
      </c>
      <c r="C43" t="s">
        <v>19</v>
      </c>
      <c r="D43" t="s">
        <v>27</v>
      </c>
      <c r="E43" t="s">
        <v>18</v>
      </c>
      <c r="F43">
        <v>14</v>
      </c>
      <c r="G43" s="4">
        <v>75000</v>
      </c>
      <c r="H43" s="4">
        <f t="shared" si="0"/>
        <v>1050000</v>
      </c>
      <c r="I43" t="str">
        <f t="shared" si="1"/>
        <v>High Sales</v>
      </c>
      <c r="J43" t="str">
        <f t="shared" si="2"/>
        <v>usmanoyo14@gmail.com</v>
      </c>
    </row>
    <row r="44" spans="1:10" x14ac:dyDescent="0.3">
      <c r="A44" s="1">
        <v>46044</v>
      </c>
      <c r="B44" t="s">
        <v>35</v>
      </c>
      <c r="C44" t="s">
        <v>37</v>
      </c>
      <c r="D44" t="s">
        <v>26</v>
      </c>
      <c r="E44" t="s">
        <v>16</v>
      </c>
      <c r="F44">
        <v>5</v>
      </c>
      <c r="G44" s="4">
        <v>25000</v>
      </c>
      <c r="H44" s="4">
        <f t="shared" si="0"/>
        <v>125000</v>
      </c>
      <c r="I44" t="str">
        <f t="shared" si="1"/>
        <v>High Sales</v>
      </c>
      <c r="J44" t="str">
        <f t="shared" si="2"/>
        <v>danielogun5@gmail.com</v>
      </c>
    </row>
    <row r="45" spans="1:10" x14ac:dyDescent="0.3">
      <c r="A45" s="1">
        <v>46124</v>
      </c>
      <c r="B45" t="s">
        <v>35</v>
      </c>
      <c r="C45" t="s">
        <v>14</v>
      </c>
      <c r="D45" t="s">
        <v>17</v>
      </c>
      <c r="E45" t="s">
        <v>38</v>
      </c>
      <c r="F45">
        <v>4</v>
      </c>
      <c r="G45" s="4">
        <v>10000</v>
      </c>
      <c r="H45" s="4">
        <f t="shared" si="0"/>
        <v>40000</v>
      </c>
      <c r="I45" t="str">
        <f t="shared" si="1"/>
        <v>Low Sales</v>
      </c>
      <c r="J45" t="str">
        <f t="shared" si="2"/>
        <v>adewalegraceogun4@gmail.com</v>
      </c>
    </row>
    <row r="46" spans="1:10" x14ac:dyDescent="0.3">
      <c r="A46" s="1">
        <v>46038</v>
      </c>
      <c r="B46" t="s">
        <v>35</v>
      </c>
      <c r="C46" t="s">
        <v>14</v>
      </c>
      <c r="D46" t="s">
        <v>17</v>
      </c>
      <c r="E46" t="s">
        <v>18</v>
      </c>
      <c r="F46">
        <v>5</v>
      </c>
      <c r="G46" s="4">
        <v>15000</v>
      </c>
      <c r="H46" s="4">
        <f t="shared" si="0"/>
        <v>75000</v>
      </c>
      <c r="I46" t="str">
        <f t="shared" si="1"/>
        <v>Low Sales</v>
      </c>
      <c r="J46" t="str">
        <f t="shared" si="2"/>
        <v>usmanogun5@gmail.com</v>
      </c>
    </row>
    <row r="47" spans="1:10" x14ac:dyDescent="0.3">
      <c r="A47" s="1">
        <v>46063</v>
      </c>
      <c r="B47" t="s">
        <v>10</v>
      </c>
      <c r="C47" t="s">
        <v>14</v>
      </c>
      <c r="D47" t="s">
        <v>21</v>
      </c>
      <c r="E47" t="s">
        <v>16</v>
      </c>
      <c r="F47">
        <v>4</v>
      </c>
      <c r="G47" s="4">
        <v>5000</v>
      </c>
      <c r="H47" s="4">
        <f t="shared" si="0"/>
        <v>20000</v>
      </c>
      <c r="I47" t="str">
        <f t="shared" si="1"/>
        <v>Low Sales</v>
      </c>
      <c r="J47" t="str">
        <f t="shared" si="2"/>
        <v>danieloyo4@gmail.com</v>
      </c>
    </row>
    <row r="48" spans="1:10" x14ac:dyDescent="0.3">
      <c r="A48" s="1">
        <v>46044</v>
      </c>
      <c r="B48" t="s">
        <v>25</v>
      </c>
      <c r="C48" t="s">
        <v>19</v>
      </c>
      <c r="D48" t="s">
        <v>20</v>
      </c>
      <c r="E48" t="s">
        <v>12</v>
      </c>
      <c r="F48">
        <v>12</v>
      </c>
      <c r="G48" s="4">
        <v>50000</v>
      </c>
      <c r="H48" s="4">
        <f t="shared" si="0"/>
        <v>600000</v>
      </c>
      <c r="I48" t="str">
        <f t="shared" si="1"/>
        <v>High Sales</v>
      </c>
      <c r="J48" t="str">
        <f t="shared" si="2"/>
        <v>maryabuja12@gmail.com</v>
      </c>
    </row>
    <row r="49" spans="1:10" x14ac:dyDescent="0.3">
      <c r="A49" s="1">
        <v>46117</v>
      </c>
      <c r="B49" t="s">
        <v>25</v>
      </c>
      <c r="C49" t="s">
        <v>14</v>
      </c>
      <c r="D49" t="s">
        <v>17</v>
      </c>
      <c r="E49" t="s">
        <v>12</v>
      </c>
      <c r="F49">
        <v>5</v>
      </c>
      <c r="G49" s="4">
        <v>50000</v>
      </c>
      <c r="H49" s="4">
        <f t="shared" si="0"/>
        <v>250000</v>
      </c>
      <c r="I49" t="str">
        <f t="shared" si="1"/>
        <v>High Sales</v>
      </c>
      <c r="J49" t="str">
        <f t="shared" si="2"/>
        <v>maryabuja5@gmail.com</v>
      </c>
    </row>
    <row r="50" spans="1:10" x14ac:dyDescent="0.3">
      <c r="A50" s="1">
        <v>46067</v>
      </c>
      <c r="B50" t="s">
        <v>35</v>
      </c>
      <c r="C50" t="s">
        <v>37</v>
      </c>
      <c r="D50" t="s">
        <v>11</v>
      </c>
      <c r="E50" t="s">
        <v>12</v>
      </c>
      <c r="F50">
        <v>1</v>
      </c>
      <c r="G50" s="4">
        <v>10000</v>
      </c>
      <c r="H50" s="4">
        <f t="shared" si="0"/>
        <v>10000</v>
      </c>
      <c r="I50" t="str">
        <f t="shared" si="1"/>
        <v>Low Sales</v>
      </c>
      <c r="J50" t="str">
        <f t="shared" si="2"/>
        <v>maryogun1@gmail.com</v>
      </c>
    </row>
    <row r="51" spans="1:10" x14ac:dyDescent="0.3">
      <c r="A51" s="1">
        <v>46197</v>
      </c>
      <c r="B51" t="s">
        <v>34</v>
      </c>
      <c r="C51" t="s">
        <v>19</v>
      </c>
      <c r="D51" t="s">
        <v>28</v>
      </c>
      <c r="E51" t="s">
        <v>12</v>
      </c>
      <c r="F51">
        <v>12</v>
      </c>
      <c r="G51" s="4">
        <v>15000</v>
      </c>
      <c r="H51" s="4">
        <f t="shared" si="0"/>
        <v>180000</v>
      </c>
      <c r="I51" t="str">
        <f t="shared" si="1"/>
        <v>High Sales</v>
      </c>
      <c r="J51" t="str">
        <f t="shared" si="2"/>
        <v>marykano12@gmail.com</v>
      </c>
    </row>
    <row r="52" spans="1:10" x14ac:dyDescent="0.3">
      <c r="A52" s="1">
        <v>46138</v>
      </c>
      <c r="B52" t="s">
        <v>34</v>
      </c>
      <c r="C52" t="s">
        <v>14</v>
      </c>
      <c r="D52" t="s">
        <v>21</v>
      </c>
      <c r="E52" t="s">
        <v>16</v>
      </c>
      <c r="F52">
        <v>11</v>
      </c>
      <c r="G52" s="4">
        <v>10000</v>
      </c>
      <c r="H52" s="4">
        <f t="shared" si="0"/>
        <v>110000</v>
      </c>
      <c r="I52" t="str">
        <f t="shared" si="1"/>
        <v>High Sales</v>
      </c>
      <c r="J52" t="str">
        <f t="shared" si="2"/>
        <v>danielkano11@gmail.com</v>
      </c>
    </row>
    <row r="53" spans="1:10" x14ac:dyDescent="0.3">
      <c r="A53" s="1">
        <v>46139</v>
      </c>
      <c r="B53" t="s">
        <v>34</v>
      </c>
      <c r="C53" t="s">
        <v>19</v>
      </c>
      <c r="D53" t="s">
        <v>27</v>
      </c>
      <c r="E53" t="s">
        <v>22</v>
      </c>
      <c r="F53">
        <v>2</v>
      </c>
      <c r="G53" s="4">
        <v>50000</v>
      </c>
      <c r="H53" s="4">
        <f t="shared" si="0"/>
        <v>100000</v>
      </c>
      <c r="I53" t="str">
        <f t="shared" si="1"/>
        <v>High Sales</v>
      </c>
      <c r="J53" t="str">
        <f t="shared" si="2"/>
        <v>davidkano2@gmail.com</v>
      </c>
    </row>
    <row r="54" spans="1:10" x14ac:dyDescent="0.3">
      <c r="A54" s="1">
        <v>46178</v>
      </c>
      <c r="B54" t="s">
        <v>10</v>
      </c>
      <c r="C54" t="s">
        <v>19</v>
      </c>
      <c r="D54" t="s">
        <v>20</v>
      </c>
      <c r="E54" t="s">
        <v>38</v>
      </c>
      <c r="F54">
        <v>9</v>
      </c>
      <c r="G54" s="4">
        <v>15000</v>
      </c>
      <c r="H54" s="4">
        <f t="shared" si="0"/>
        <v>135000</v>
      </c>
      <c r="I54" t="str">
        <f t="shared" si="1"/>
        <v>High Sales</v>
      </c>
      <c r="J54" t="str">
        <f t="shared" si="2"/>
        <v>adewalegraceoyo9@gmail.com</v>
      </c>
    </row>
    <row r="55" spans="1:10" x14ac:dyDescent="0.3">
      <c r="A55" s="1">
        <v>46189</v>
      </c>
      <c r="B55" t="s">
        <v>13</v>
      </c>
      <c r="C55" t="s">
        <v>14</v>
      </c>
      <c r="D55" t="s">
        <v>15</v>
      </c>
      <c r="E55" t="s">
        <v>18</v>
      </c>
      <c r="F55">
        <v>16</v>
      </c>
      <c r="G55" s="4">
        <v>50000</v>
      </c>
      <c r="H55" s="4">
        <f t="shared" si="0"/>
        <v>800000</v>
      </c>
      <c r="I55" t="str">
        <f t="shared" si="1"/>
        <v>High Sales</v>
      </c>
      <c r="J55" t="str">
        <f t="shared" si="2"/>
        <v>usmanlagos16@gmail.com</v>
      </c>
    </row>
    <row r="56" spans="1:10" x14ac:dyDescent="0.3">
      <c r="A56" s="1">
        <v>46201</v>
      </c>
      <c r="B56" t="s">
        <v>25</v>
      </c>
      <c r="C56" t="s">
        <v>14</v>
      </c>
      <c r="D56" t="s">
        <v>15</v>
      </c>
      <c r="E56" t="s">
        <v>18</v>
      </c>
      <c r="F56">
        <v>5</v>
      </c>
      <c r="G56" s="4">
        <v>25000</v>
      </c>
      <c r="H56" s="4">
        <f t="shared" si="0"/>
        <v>125000</v>
      </c>
      <c r="I56" t="str">
        <f t="shared" si="1"/>
        <v>High Sales</v>
      </c>
      <c r="J56" t="str">
        <f t="shared" si="2"/>
        <v>usmanabuja5@gmail.com</v>
      </c>
    </row>
    <row r="57" spans="1:10" x14ac:dyDescent="0.3">
      <c r="A57" s="1">
        <v>46053</v>
      </c>
      <c r="B57" t="s">
        <v>34</v>
      </c>
      <c r="C57" t="s">
        <v>19</v>
      </c>
      <c r="D57" t="s">
        <v>28</v>
      </c>
      <c r="E57" t="s">
        <v>23</v>
      </c>
      <c r="F57">
        <v>5</v>
      </c>
      <c r="G57" s="4">
        <v>75000</v>
      </c>
      <c r="H57" s="4">
        <f t="shared" si="0"/>
        <v>375000</v>
      </c>
      <c r="I57" t="str">
        <f t="shared" si="1"/>
        <v>High Sales</v>
      </c>
      <c r="J57" t="str">
        <f t="shared" si="2"/>
        <v>aishakano5@gmail.com</v>
      </c>
    </row>
    <row r="58" spans="1:10" x14ac:dyDescent="0.3">
      <c r="A58" s="1">
        <v>46091</v>
      </c>
      <c r="B58" t="s">
        <v>10</v>
      </c>
      <c r="C58" t="s">
        <v>19</v>
      </c>
      <c r="D58" t="s">
        <v>20</v>
      </c>
      <c r="E58" t="s">
        <v>23</v>
      </c>
      <c r="F58">
        <v>6</v>
      </c>
      <c r="G58" s="4">
        <v>25000</v>
      </c>
      <c r="H58" s="4">
        <f t="shared" si="0"/>
        <v>150000</v>
      </c>
      <c r="I58" t="str">
        <f t="shared" si="1"/>
        <v>High Sales</v>
      </c>
      <c r="J58" t="str">
        <f t="shared" si="2"/>
        <v>aishaoyo6@gmail.com</v>
      </c>
    </row>
    <row r="59" spans="1:10" x14ac:dyDescent="0.3">
      <c r="A59" s="1">
        <v>46158</v>
      </c>
      <c r="B59" t="s">
        <v>13</v>
      </c>
      <c r="C59" t="s">
        <v>37</v>
      </c>
      <c r="D59" t="s">
        <v>11</v>
      </c>
      <c r="E59" t="s">
        <v>16</v>
      </c>
      <c r="F59">
        <v>2</v>
      </c>
      <c r="G59" s="4">
        <v>5000</v>
      </c>
      <c r="H59" s="4">
        <f t="shared" si="0"/>
        <v>10000</v>
      </c>
      <c r="I59" t="str">
        <f t="shared" si="1"/>
        <v>Low Sales</v>
      </c>
      <c r="J59" t="str">
        <f t="shared" si="2"/>
        <v>daniellagos2@gmail.com</v>
      </c>
    </row>
    <row r="60" spans="1:10" x14ac:dyDescent="0.3">
      <c r="A60" s="1">
        <v>46156</v>
      </c>
      <c r="B60" t="s">
        <v>25</v>
      </c>
      <c r="C60" t="s">
        <v>37</v>
      </c>
      <c r="D60" t="s">
        <v>11</v>
      </c>
      <c r="E60" t="s">
        <v>12</v>
      </c>
      <c r="F60">
        <v>3</v>
      </c>
      <c r="G60" s="4">
        <v>25000</v>
      </c>
      <c r="H60" s="4">
        <f t="shared" si="0"/>
        <v>75000</v>
      </c>
      <c r="I60" t="str">
        <f t="shared" si="1"/>
        <v>Low Sales</v>
      </c>
      <c r="J60" t="str">
        <f t="shared" si="2"/>
        <v>maryabuja3@gmail.com</v>
      </c>
    </row>
    <row r="61" spans="1:10" x14ac:dyDescent="0.3">
      <c r="A61" s="1">
        <v>46181</v>
      </c>
      <c r="B61" t="s">
        <v>34</v>
      </c>
      <c r="C61" t="s">
        <v>19</v>
      </c>
      <c r="D61" t="s">
        <v>20</v>
      </c>
      <c r="E61" t="s">
        <v>16</v>
      </c>
      <c r="F61">
        <v>11</v>
      </c>
      <c r="G61" s="4">
        <v>50000</v>
      </c>
      <c r="H61" s="4">
        <f t="shared" si="0"/>
        <v>550000</v>
      </c>
      <c r="I61" t="str">
        <f t="shared" si="1"/>
        <v>High Sales</v>
      </c>
      <c r="J61" t="str">
        <f t="shared" si="2"/>
        <v>danielkano11@gmail.com</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B4408-6046-431C-B9D3-835D9F8A500F}">
  <dimension ref="A2:F19"/>
  <sheetViews>
    <sheetView workbookViewId="0">
      <selection activeCell="M21" sqref="M21"/>
    </sheetView>
  </sheetViews>
  <sheetFormatPr defaultRowHeight="14.4" x14ac:dyDescent="0.3"/>
  <cols>
    <col min="1" max="1" width="13.33203125" bestFit="1" customWidth="1"/>
    <col min="2" max="2" width="17" bestFit="1" customWidth="1"/>
    <col min="5" max="5" width="12.5546875" bestFit="1" customWidth="1"/>
    <col min="6" max="6" width="14.88671875" bestFit="1" customWidth="1"/>
    <col min="11" max="12" width="8.88671875" customWidth="1"/>
    <col min="15" max="16" width="8.88671875" customWidth="1"/>
  </cols>
  <sheetData>
    <row r="2" spans="1:6" x14ac:dyDescent="0.3">
      <c r="A2" s="5" t="s">
        <v>39</v>
      </c>
      <c r="B2" t="s">
        <v>47</v>
      </c>
      <c r="E2" s="5" t="s">
        <v>39</v>
      </c>
      <c r="F2" t="s">
        <v>49</v>
      </c>
    </row>
    <row r="3" spans="1:6" x14ac:dyDescent="0.3">
      <c r="A3" s="6" t="s">
        <v>41</v>
      </c>
      <c r="B3">
        <v>144</v>
      </c>
      <c r="E3" s="6" t="s">
        <v>25</v>
      </c>
      <c r="F3" s="4">
        <v>3975000</v>
      </c>
    </row>
    <row r="4" spans="1:6" x14ac:dyDescent="0.3">
      <c r="A4" s="6" t="s">
        <v>42</v>
      </c>
      <c r="B4">
        <v>79</v>
      </c>
      <c r="E4" s="6" t="s">
        <v>34</v>
      </c>
      <c r="F4" s="4">
        <v>2000000</v>
      </c>
    </row>
    <row r="5" spans="1:6" x14ac:dyDescent="0.3">
      <c r="A5" s="6" t="s">
        <v>43</v>
      </c>
      <c r="B5">
        <v>88</v>
      </c>
      <c r="E5" s="6" t="s">
        <v>13</v>
      </c>
      <c r="F5" s="4">
        <v>3960000</v>
      </c>
    </row>
    <row r="6" spans="1:6" x14ac:dyDescent="0.3">
      <c r="A6" s="6" t="s">
        <v>44</v>
      </c>
      <c r="B6">
        <v>57</v>
      </c>
      <c r="E6" s="6" t="s">
        <v>35</v>
      </c>
      <c r="F6" s="4">
        <v>1815000</v>
      </c>
    </row>
    <row r="7" spans="1:6" x14ac:dyDescent="0.3">
      <c r="A7" s="6" t="s">
        <v>45</v>
      </c>
      <c r="B7">
        <v>40</v>
      </c>
      <c r="E7" s="6" t="s">
        <v>10</v>
      </c>
      <c r="F7" s="4">
        <v>4980000</v>
      </c>
    </row>
    <row r="8" spans="1:6" x14ac:dyDescent="0.3">
      <c r="A8" s="6" t="s">
        <v>46</v>
      </c>
      <c r="B8">
        <v>133</v>
      </c>
      <c r="E8" s="6" t="s">
        <v>24</v>
      </c>
      <c r="F8" s="4">
        <v>1015000</v>
      </c>
    </row>
    <row r="9" spans="1:6" x14ac:dyDescent="0.3">
      <c r="A9" s="6" t="s">
        <v>40</v>
      </c>
      <c r="B9">
        <v>541</v>
      </c>
      <c r="E9" s="6" t="s">
        <v>40</v>
      </c>
      <c r="F9" s="4">
        <v>17745000</v>
      </c>
    </row>
    <row r="12" spans="1:6" x14ac:dyDescent="0.3">
      <c r="A12" s="5" t="s">
        <v>39</v>
      </c>
      <c r="B12" t="s">
        <v>49</v>
      </c>
      <c r="E12" s="5" t="s">
        <v>39</v>
      </c>
      <c r="F12" t="s">
        <v>47</v>
      </c>
    </row>
    <row r="13" spans="1:6" x14ac:dyDescent="0.3">
      <c r="A13" s="6" t="s">
        <v>38</v>
      </c>
      <c r="B13" s="4">
        <v>2455000</v>
      </c>
      <c r="E13" s="6" t="s">
        <v>14</v>
      </c>
      <c r="F13">
        <v>185</v>
      </c>
    </row>
    <row r="14" spans="1:6" x14ac:dyDescent="0.3">
      <c r="A14" s="6" t="s">
        <v>23</v>
      </c>
      <c r="B14" s="4">
        <v>1655000</v>
      </c>
      <c r="E14" s="6" t="s">
        <v>19</v>
      </c>
      <c r="F14">
        <v>181</v>
      </c>
    </row>
    <row r="15" spans="1:6" x14ac:dyDescent="0.3">
      <c r="A15" s="6" t="s">
        <v>16</v>
      </c>
      <c r="B15" s="4">
        <v>3985000</v>
      </c>
      <c r="E15" s="6" t="s">
        <v>37</v>
      </c>
      <c r="F15">
        <v>175</v>
      </c>
    </row>
    <row r="16" spans="1:6" x14ac:dyDescent="0.3">
      <c r="A16" s="6" t="s">
        <v>22</v>
      </c>
      <c r="B16" s="4">
        <v>3785000</v>
      </c>
      <c r="E16" s="6" t="s">
        <v>40</v>
      </c>
      <c r="F16">
        <v>541</v>
      </c>
    </row>
    <row r="17" spans="1:2" x14ac:dyDescent="0.3">
      <c r="A17" s="6" t="s">
        <v>12</v>
      </c>
      <c r="B17" s="4">
        <v>2435000</v>
      </c>
    </row>
    <row r="18" spans="1:2" x14ac:dyDescent="0.3">
      <c r="A18" s="6" t="s">
        <v>18</v>
      </c>
      <c r="B18" s="4">
        <v>3430000</v>
      </c>
    </row>
    <row r="19" spans="1:2" x14ac:dyDescent="0.3">
      <c r="A19" s="6" t="s">
        <v>40</v>
      </c>
      <c r="B19" s="4">
        <v>17745000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A08A-5104-4846-9D5C-615500EC057D}">
  <dimension ref="A1:P35"/>
  <sheetViews>
    <sheetView tabSelected="1" topLeftCell="A7" workbookViewId="0">
      <selection activeCell="Q20" sqref="Q20"/>
    </sheetView>
  </sheetViews>
  <sheetFormatPr defaultRowHeight="14.4" x14ac:dyDescent="0.3"/>
  <sheetData>
    <row r="1" spans="1:16" x14ac:dyDescent="0.3">
      <c r="A1" s="12" t="s">
        <v>50</v>
      </c>
      <c r="B1" s="13"/>
      <c r="C1" s="13"/>
      <c r="D1" s="13"/>
      <c r="E1" s="13"/>
      <c r="F1" s="13"/>
      <c r="G1" s="13"/>
      <c r="H1" s="13"/>
      <c r="I1" s="13"/>
      <c r="J1" s="13"/>
      <c r="K1" s="13"/>
      <c r="L1" s="13"/>
      <c r="M1" s="13"/>
      <c r="N1" s="13"/>
      <c r="O1" s="13"/>
      <c r="P1" s="13"/>
    </row>
    <row r="2" spans="1:16" x14ac:dyDescent="0.3">
      <c r="A2" s="13"/>
      <c r="B2" s="13"/>
      <c r="C2" s="13"/>
      <c r="D2" s="13"/>
      <c r="E2" s="13"/>
      <c r="F2" s="13"/>
      <c r="G2" s="13"/>
      <c r="H2" s="13"/>
      <c r="I2" s="13"/>
      <c r="J2" s="13"/>
      <c r="K2" s="13"/>
      <c r="L2" s="13"/>
      <c r="M2" s="13"/>
      <c r="N2" s="13"/>
      <c r="O2" s="13"/>
      <c r="P2" s="13"/>
    </row>
    <row r="3" spans="1:16" x14ac:dyDescent="0.3">
      <c r="A3" s="14"/>
      <c r="B3" s="14"/>
      <c r="C3" s="14"/>
      <c r="D3" s="14"/>
      <c r="E3" s="14"/>
      <c r="F3" s="14"/>
      <c r="G3" s="14"/>
      <c r="H3" s="14"/>
      <c r="I3" s="14"/>
      <c r="J3" s="14"/>
      <c r="K3" s="14"/>
      <c r="L3" s="14"/>
      <c r="M3" s="14"/>
      <c r="N3" s="14"/>
      <c r="O3" s="14"/>
      <c r="P3" s="14"/>
    </row>
    <row r="4" spans="1:16" x14ac:dyDescent="0.3">
      <c r="A4" s="14"/>
      <c r="B4" s="14"/>
      <c r="C4" s="14"/>
      <c r="D4" s="14"/>
      <c r="E4" s="14"/>
      <c r="F4" s="14"/>
      <c r="G4" s="14"/>
      <c r="H4" s="14"/>
      <c r="I4" s="14"/>
      <c r="J4" s="14"/>
      <c r="K4" s="14"/>
      <c r="L4" s="14"/>
      <c r="M4" s="14"/>
      <c r="N4" s="14"/>
      <c r="O4" s="14"/>
      <c r="P4" s="14"/>
    </row>
    <row r="5" spans="1:16" x14ac:dyDescent="0.3">
      <c r="A5" s="14"/>
      <c r="B5" s="14"/>
      <c r="C5" s="14"/>
      <c r="D5" s="14"/>
      <c r="E5" s="14"/>
      <c r="F5" s="14"/>
      <c r="G5" s="14"/>
      <c r="H5" s="14"/>
      <c r="I5" s="14"/>
      <c r="J5" s="14"/>
      <c r="K5" s="14"/>
      <c r="L5" s="14"/>
      <c r="M5" s="14"/>
      <c r="N5" s="14"/>
      <c r="O5" s="14"/>
      <c r="P5" s="14"/>
    </row>
    <row r="6" spans="1:16" x14ac:dyDescent="0.3">
      <c r="A6" s="14"/>
      <c r="B6" s="14"/>
      <c r="C6" s="14"/>
      <c r="D6" s="14"/>
      <c r="E6" s="14"/>
      <c r="F6" s="14"/>
      <c r="G6" s="14"/>
      <c r="H6" s="14"/>
      <c r="I6" s="14"/>
      <c r="J6" s="14"/>
      <c r="K6" s="14"/>
      <c r="L6" s="14"/>
      <c r="M6" s="14"/>
      <c r="N6" s="14"/>
      <c r="O6" s="14"/>
      <c r="P6" s="14"/>
    </row>
    <row r="7" spans="1:16" x14ac:dyDescent="0.3">
      <c r="A7" s="14"/>
      <c r="B7" s="14"/>
      <c r="C7" s="14"/>
      <c r="D7" s="14"/>
      <c r="E7" s="14"/>
      <c r="F7" s="14"/>
      <c r="G7" s="14"/>
      <c r="H7" s="14"/>
      <c r="I7" s="14"/>
      <c r="J7" s="14"/>
      <c r="K7" s="14"/>
      <c r="L7" s="14"/>
      <c r="M7" s="14"/>
      <c r="N7" s="14"/>
      <c r="O7" s="14"/>
      <c r="P7" s="14"/>
    </row>
    <row r="8" spans="1:16" x14ac:dyDescent="0.3">
      <c r="A8" s="14"/>
      <c r="B8" s="14"/>
      <c r="C8" s="14"/>
      <c r="D8" s="14"/>
      <c r="E8" s="14"/>
      <c r="F8" s="14"/>
      <c r="G8" s="14"/>
      <c r="H8" s="14"/>
      <c r="I8" s="14"/>
      <c r="J8" s="14"/>
      <c r="K8" s="14"/>
      <c r="L8" s="14"/>
      <c r="M8" s="14"/>
      <c r="N8" s="14"/>
      <c r="O8" s="14"/>
      <c r="P8" s="14"/>
    </row>
    <row r="9" spans="1:16" x14ac:dyDescent="0.3">
      <c r="A9" s="14"/>
      <c r="B9" s="14"/>
      <c r="C9" s="14"/>
      <c r="D9" s="14"/>
      <c r="E9" s="14"/>
      <c r="F9" s="14"/>
      <c r="G9" s="14"/>
      <c r="H9" s="14"/>
      <c r="I9" s="14"/>
      <c r="J9" s="14"/>
      <c r="K9" s="14"/>
      <c r="L9" s="14"/>
      <c r="M9" s="14"/>
      <c r="N9" s="14"/>
      <c r="O9" s="14"/>
      <c r="P9" s="14"/>
    </row>
    <row r="10" spans="1:16" x14ac:dyDescent="0.3">
      <c r="A10" s="14"/>
      <c r="B10" s="14"/>
      <c r="C10" s="14"/>
      <c r="D10" s="14"/>
      <c r="E10" s="14"/>
      <c r="F10" s="14"/>
      <c r="G10" s="14"/>
      <c r="H10" s="14"/>
      <c r="I10" s="14"/>
      <c r="J10" s="14"/>
      <c r="K10" s="14"/>
      <c r="L10" s="14"/>
      <c r="M10" s="14"/>
      <c r="N10" s="14"/>
      <c r="O10" s="14"/>
      <c r="P10" s="14"/>
    </row>
    <row r="11" spans="1:16" x14ac:dyDescent="0.3">
      <c r="A11" s="14"/>
      <c r="B11" s="14"/>
      <c r="C11" s="14"/>
      <c r="D11" s="14"/>
      <c r="E11" s="14"/>
      <c r="F11" s="14"/>
      <c r="G11" s="14"/>
      <c r="H11" s="14"/>
      <c r="I11" s="14"/>
      <c r="J11" s="14"/>
      <c r="K11" s="14"/>
      <c r="L11" s="14"/>
      <c r="M11" s="14"/>
      <c r="N11" s="14"/>
      <c r="O11" s="14"/>
      <c r="P11" s="14"/>
    </row>
    <row r="12" spans="1:16" x14ac:dyDescent="0.3">
      <c r="A12" s="14"/>
      <c r="B12" s="14"/>
      <c r="C12" s="14"/>
      <c r="D12" s="14"/>
      <c r="E12" s="14"/>
      <c r="F12" s="14"/>
      <c r="G12" s="14"/>
      <c r="H12" s="14"/>
      <c r="I12" s="14"/>
      <c r="J12" s="14"/>
      <c r="K12" s="14"/>
      <c r="L12" s="14"/>
      <c r="M12" s="14"/>
      <c r="N12" s="14"/>
      <c r="O12" s="14"/>
      <c r="P12" s="14"/>
    </row>
    <row r="13" spans="1:16" x14ac:dyDescent="0.3">
      <c r="A13" s="14"/>
      <c r="B13" s="14"/>
      <c r="C13" s="14"/>
      <c r="D13" s="14"/>
      <c r="E13" s="14"/>
      <c r="F13" s="14"/>
      <c r="G13" s="14"/>
      <c r="H13" s="14"/>
      <c r="I13" s="14"/>
      <c r="J13" s="14"/>
      <c r="K13" s="14"/>
      <c r="L13" s="14"/>
      <c r="M13" s="14"/>
      <c r="N13" s="14"/>
      <c r="O13" s="14"/>
      <c r="P13" s="14"/>
    </row>
    <row r="14" spans="1:16" x14ac:dyDescent="0.3">
      <c r="A14" s="14"/>
      <c r="B14" s="14"/>
      <c r="C14" s="14"/>
      <c r="D14" s="14"/>
      <c r="E14" s="14"/>
      <c r="F14" s="14"/>
      <c r="G14" s="14"/>
      <c r="H14" s="14"/>
      <c r="I14" s="14"/>
      <c r="J14" s="14"/>
      <c r="K14" s="14"/>
      <c r="L14" s="14"/>
      <c r="M14" s="14"/>
      <c r="N14" s="14"/>
      <c r="O14" s="14"/>
      <c r="P14" s="14"/>
    </row>
    <row r="15" spans="1:16" x14ac:dyDescent="0.3">
      <c r="A15" s="14"/>
      <c r="B15" s="14"/>
      <c r="C15" s="14"/>
      <c r="D15" s="14"/>
      <c r="E15" s="14"/>
      <c r="F15" s="14"/>
      <c r="G15" s="14"/>
      <c r="H15" s="14"/>
      <c r="I15" s="14"/>
      <c r="J15" s="14"/>
      <c r="K15" s="14"/>
      <c r="L15" s="14"/>
      <c r="M15" s="14"/>
      <c r="N15" s="14"/>
      <c r="O15" s="14"/>
      <c r="P15" s="14"/>
    </row>
    <row r="16" spans="1:16" x14ac:dyDescent="0.3">
      <c r="A16" s="14"/>
      <c r="B16" s="14"/>
      <c r="C16" s="14"/>
      <c r="D16" s="14"/>
      <c r="E16" s="14"/>
      <c r="F16" s="14"/>
      <c r="G16" s="14"/>
      <c r="H16" s="14"/>
      <c r="I16" s="14"/>
      <c r="J16" s="14"/>
      <c r="K16" s="14"/>
      <c r="L16" s="14"/>
      <c r="M16" s="14"/>
      <c r="N16" s="14"/>
      <c r="O16" s="14"/>
      <c r="P16" s="14"/>
    </row>
    <row r="17" spans="1:16" x14ac:dyDescent="0.3">
      <c r="A17" s="14"/>
      <c r="B17" s="14"/>
      <c r="C17" s="14"/>
      <c r="D17" s="14"/>
      <c r="E17" s="14"/>
      <c r="F17" s="14"/>
      <c r="G17" s="14"/>
      <c r="H17" s="14"/>
      <c r="I17" s="14"/>
      <c r="J17" s="14"/>
      <c r="K17" s="14"/>
      <c r="L17" s="14"/>
      <c r="M17" s="14"/>
      <c r="N17" s="14"/>
      <c r="O17" s="14"/>
      <c r="P17" s="14"/>
    </row>
    <row r="18" spans="1:16" x14ac:dyDescent="0.3">
      <c r="A18" s="14"/>
      <c r="B18" s="14"/>
      <c r="C18" s="14"/>
      <c r="D18" s="14"/>
      <c r="E18" s="14"/>
      <c r="F18" s="14"/>
      <c r="G18" s="14"/>
      <c r="H18" s="14"/>
      <c r="I18" s="14"/>
      <c r="J18" s="14"/>
      <c r="K18" s="14"/>
      <c r="L18" s="14"/>
      <c r="M18" s="14"/>
      <c r="N18" s="14"/>
      <c r="O18" s="14"/>
      <c r="P18" s="14"/>
    </row>
    <row r="19" spans="1:16" x14ac:dyDescent="0.3">
      <c r="A19" s="14"/>
      <c r="B19" s="14"/>
      <c r="C19" s="14"/>
      <c r="D19" s="14"/>
      <c r="E19" s="14"/>
      <c r="F19" s="14"/>
      <c r="G19" s="14"/>
      <c r="H19" s="14"/>
      <c r="I19" s="14"/>
      <c r="J19" s="14"/>
      <c r="K19" s="14"/>
      <c r="L19" s="14"/>
      <c r="M19" s="14"/>
      <c r="N19" s="14"/>
      <c r="O19" s="14"/>
      <c r="P19" s="14"/>
    </row>
    <row r="20" spans="1:16" x14ac:dyDescent="0.3">
      <c r="A20" s="14"/>
      <c r="B20" s="14"/>
      <c r="C20" s="14"/>
      <c r="D20" s="14"/>
      <c r="E20" s="14"/>
      <c r="F20" s="14"/>
      <c r="G20" s="14"/>
      <c r="H20" s="14"/>
      <c r="I20" s="14"/>
      <c r="J20" s="14"/>
      <c r="K20" s="14"/>
      <c r="L20" s="14"/>
      <c r="M20" s="14"/>
      <c r="N20" s="14"/>
      <c r="O20" s="14"/>
      <c r="P20" s="14"/>
    </row>
    <row r="21" spans="1:16" x14ac:dyDescent="0.3">
      <c r="A21" s="14"/>
      <c r="B21" s="14"/>
      <c r="C21" s="14"/>
      <c r="D21" s="14"/>
      <c r="E21" s="14"/>
      <c r="F21" s="14"/>
      <c r="G21" s="14"/>
      <c r="H21" s="14"/>
      <c r="I21" s="14"/>
      <c r="J21" s="14"/>
      <c r="K21" s="14"/>
      <c r="L21" s="14"/>
      <c r="M21" s="14"/>
      <c r="N21" s="14"/>
      <c r="O21" s="14"/>
      <c r="P21" s="14"/>
    </row>
    <row r="22" spans="1:16" x14ac:dyDescent="0.3">
      <c r="A22" s="14"/>
      <c r="B22" s="14"/>
      <c r="C22" s="14"/>
      <c r="D22" s="14"/>
      <c r="E22" s="14"/>
      <c r="F22" s="14"/>
      <c r="G22" s="14"/>
      <c r="H22" s="14"/>
      <c r="I22" s="14"/>
      <c r="J22" s="14"/>
      <c r="K22" s="14"/>
      <c r="L22" s="14"/>
      <c r="M22" s="14"/>
      <c r="N22" s="14"/>
      <c r="O22" s="14"/>
      <c r="P22" s="14"/>
    </row>
    <row r="23" spans="1:16" x14ac:dyDescent="0.3">
      <c r="A23" s="14"/>
      <c r="B23" s="14"/>
      <c r="C23" s="14"/>
      <c r="D23" s="14"/>
      <c r="E23" s="14"/>
      <c r="F23" s="14"/>
      <c r="G23" s="14"/>
      <c r="H23" s="14"/>
      <c r="I23" s="14"/>
      <c r="J23" s="14"/>
      <c r="K23" s="14"/>
      <c r="L23" s="14"/>
      <c r="M23" s="14"/>
      <c r="N23" s="14"/>
      <c r="O23" s="14"/>
      <c r="P23" s="14"/>
    </row>
    <row r="24" spans="1:16" x14ac:dyDescent="0.3">
      <c r="A24" s="14"/>
      <c r="B24" s="14"/>
      <c r="C24" s="14"/>
      <c r="D24" s="14"/>
      <c r="E24" s="14"/>
      <c r="F24" s="14"/>
      <c r="G24" s="14"/>
      <c r="H24" s="14"/>
      <c r="I24" s="14"/>
      <c r="J24" s="14"/>
      <c r="K24" s="14"/>
      <c r="L24" s="14"/>
      <c r="M24" s="14"/>
      <c r="N24" s="14"/>
      <c r="O24" s="14"/>
      <c r="P24" s="14"/>
    </row>
    <row r="25" spans="1:16" x14ac:dyDescent="0.3">
      <c r="A25" s="14"/>
      <c r="B25" s="14"/>
      <c r="C25" s="14"/>
      <c r="D25" s="14"/>
      <c r="E25" s="14"/>
      <c r="F25" s="14"/>
      <c r="G25" s="14"/>
      <c r="H25" s="14"/>
      <c r="I25" s="14"/>
      <c r="J25" s="14"/>
      <c r="K25" s="14"/>
      <c r="L25" s="14"/>
      <c r="M25" s="14"/>
      <c r="N25" s="14"/>
      <c r="O25" s="14"/>
      <c r="P25" s="14"/>
    </row>
    <row r="26" spans="1:16" x14ac:dyDescent="0.3">
      <c r="A26" s="14"/>
      <c r="B26" s="14"/>
      <c r="C26" s="14"/>
      <c r="D26" s="14"/>
      <c r="E26" s="14"/>
      <c r="F26" s="14"/>
      <c r="G26" s="14"/>
      <c r="H26" s="14"/>
      <c r="I26" s="14"/>
      <c r="J26" s="14"/>
      <c r="K26" s="14"/>
      <c r="L26" s="14"/>
      <c r="M26" s="14"/>
      <c r="N26" s="14"/>
      <c r="O26" s="14"/>
      <c r="P26" s="14"/>
    </row>
    <row r="27" spans="1:16" x14ac:dyDescent="0.3">
      <c r="A27" s="14"/>
      <c r="B27" s="14"/>
      <c r="C27" s="14"/>
      <c r="D27" s="14"/>
      <c r="E27" s="14"/>
      <c r="F27" s="14"/>
      <c r="G27" s="14"/>
      <c r="H27" s="14"/>
      <c r="I27" s="14"/>
      <c r="J27" s="14"/>
      <c r="K27" s="14"/>
      <c r="L27" s="14"/>
      <c r="M27" s="14"/>
      <c r="N27" s="14"/>
      <c r="O27" s="14"/>
      <c r="P27" s="14"/>
    </row>
    <row r="28" spans="1:16" x14ac:dyDescent="0.3">
      <c r="A28" s="14"/>
      <c r="B28" s="14"/>
      <c r="C28" s="14"/>
      <c r="D28" s="14"/>
      <c r="E28" s="14"/>
      <c r="F28" s="14"/>
      <c r="G28" s="14"/>
      <c r="H28" s="14"/>
      <c r="I28" s="14"/>
      <c r="J28" s="14"/>
      <c r="K28" s="14"/>
      <c r="L28" s="14"/>
      <c r="M28" s="14"/>
      <c r="N28" s="14"/>
      <c r="O28" s="14"/>
      <c r="P28" s="14"/>
    </row>
    <row r="29" spans="1:16" x14ac:dyDescent="0.3">
      <c r="A29" s="14"/>
      <c r="B29" s="14"/>
      <c r="C29" s="14"/>
      <c r="D29" s="14"/>
      <c r="E29" s="14"/>
      <c r="F29" s="14"/>
      <c r="G29" s="14"/>
      <c r="H29" s="14"/>
      <c r="I29" s="14"/>
      <c r="J29" s="14"/>
      <c r="K29" s="14"/>
      <c r="L29" s="14"/>
      <c r="M29" s="14"/>
      <c r="N29" s="14"/>
      <c r="O29" s="14"/>
      <c r="P29" s="14"/>
    </row>
    <row r="30" spans="1:16" x14ac:dyDescent="0.3">
      <c r="A30" s="14"/>
      <c r="B30" s="14"/>
      <c r="C30" s="14"/>
      <c r="D30" s="14"/>
      <c r="E30" s="14"/>
      <c r="F30" s="14"/>
      <c r="G30" s="14"/>
      <c r="H30" s="14"/>
      <c r="I30" s="14"/>
      <c r="J30" s="14"/>
      <c r="K30" s="14"/>
      <c r="L30" s="14"/>
      <c r="M30" s="14"/>
      <c r="N30" s="14"/>
      <c r="O30" s="14"/>
      <c r="P30" s="14"/>
    </row>
    <row r="31" spans="1:16" x14ac:dyDescent="0.3">
      <c r="A31" s="14"/>
      <c r="B31" s="14"/>
      <c r="C31" s="14"/>
      <c r="D31" s="14"/>
      <c r="E31" s="14"/>
      <c r="F31" s="14"/>
      <c r="G31" s="14"/>
      <c r="H31" s="14"/>
      <c r="I31" s="14"/>
      <c r="J31" s="14"/>
      <c r="K31" s="14"/>
      <c r="L31" s="14"/>
      <c r="M31" s="14"/>
      <c r="N31" s="14"/>
      <c r="O31" s="14"/>
      <c r="P31" s="14"/>
    </row>
    <row r="32" spans="1:16" x14ac:dyDescent="0.3">
      <c r="A32" s="14"/>
      <c r="B32" s="14"/>
      <c r="C32" s="14"/>
      <c r="D32" s="14"/>
      <c r="E32" s="14"/>
      <c r="F32" s="14"/>
      <c r="G32" s="14"/>
      <c r="H32" s="14"/>
      <c r="I32" s="14"/>
      <c r="J32" s="14"/>
      <c r="K32" s="14"/>
      <c r="L32" s="14"/>
      <c r="M32" s="14"/>
      <c r="N32" s="14"/>
      <c r="O32" s="14"/>
      <c r="P32" s="14"/>
    </row>
    <row r="33" spans="1:16" x14ac:dyDescent="0.3">
      <c r="A33" s="14"/>
      <c r="B33" s="14"/>
      <c r="C33" s="14"/>
      <c r="D33" s="14"/>
      <c r="E33" s="14"/>
      <c r="F33" s="14"/>
      <c r="G33" s="14"/>
      <c r="H33" s="14"/>
      <c r="I33" s="14"/>
      <c r="J33" s="14"/>
      <c r="K33" s="14"/>
      <c r="L33" s="14"/>
      <c r="M33" s="14"/>
      <c r="N33" s="14"/>
      <c r="O33" s="14"/>
      <c r="P33" s="14"/>
    </row>
    <row r="34" spans="1:16" x14ac:dyDescent="0.3">
      <c r="A34" s="14"/>
      <c r="B34" s="14"/>
      <c r="C34" s="14"/>
      <c r="D34" s="14"/>
      <c r="E34" s="14"/>
      <c r="F34" s="14"/>
      <c r="G34" s="14"/>
      <c r="H34" s="14"/>
      <c r="I34" s="14"/>
      <c r="J34" s="14"/>
      <c r="K34" s="14"/>
      <c r="L34" s="14"/>
      <c r="M34" s="14"/>
      <c r="N34" s="14"/>
      <c r="O34" s="14"/>
      <c r="P34" s="14"/>
    </row>
    <row r="35" spans="1:16" x14ac:dyDescent="0.3">
      <c r="A35" s="14"/>
      <c r="B35" s="14"/>
      <c r="C35" s="14"/>
      <c r="D35" s="14"/>
      <c r="E35" s="14"/>
      <c r="F35" s="14"/>
      <c r="G35" s="14"/>
      <c r="H35" s="14"/>
      <c r="I35" s="14"/>
      <c r="J35" s="14"/>
      <c r="K35" s="14"/>
      <c r="L35" s="14"/>
      <c r="M35" s="14"/>
      <c r="N35" s="14"/>
      <c r="O35" s="14"/>
      <c r="P35" s="14"/>
    </row>
  </sheetData>
  <mergeCells count="2">
    <mergeCell ref="A1:P2"/>
    <mergeCell ref="A3:P3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F6CDA-8B52-4FBA-A681-ADBBC6CDB12E}">
  <dimension ref="A1:A17"/>
  <sheetViews>
    <sheetView workbookViewId="0">
      <selection activeCell="A18" sqref="A18"/>
    </sheetView>
  </sheetViews>
  <sheetFormatPr defaultRowHeight="14.4" x14ac:dyDescent="0.3"/>
  <cols>
    <col min="1" max="1" width="143" customWidth="1"/>
  </cols>
  <sheetData>
    <row r="1" spans="1:1" ht="25.2" x14ac:dyDescent="0.6">
      <c r="A1" s="9" t="s">
        <v>61</v>
      </c>
    </row>
    <row r="2" spans="1:1" s="10" customFormat="1" ht="55.8" x14ac:dyDescent="0.3">
      <c r="A2" s="11" t="s">
        <v>62</v>
      </c>
    </row>
    <row r="4" spans="1:1" ht="25.2" x14ac:dyDescent="0.6">
      <c r="A4" s="7" t="s">
        <v>55</v>
      </c>
    </row>
    <row r="5" spans="1:1" x14ac:dyDescent="0.3">
      <c r="A5" s="8" t="s">
        <v>51</v>
      </c>
    </row>
    <row r="6" spans="1:1" x14ac:dyDescent="0.3">
      <c r="A6" s="8" t="s">
        <v>52</v>
      </c>
    </row>
    <row r="7" spans="1:1" x14ac:dyDescent="0.3">
      <c r="A7" s="8" t="s">
        <v>53</v>
      </c>
    </row>
    <row r="8" spans="1:1" x14ac:dyDescent="0.3">
      <c r="A8" s="8" t="s">
        <v>54</v>
      </c>
    </row>
    <row r="9" spans="1:1" x14ac:dyDescent="0.3">
      <c r="A9" s="8"/>
    </row>
    <row r="10" spans="1:1" ht="25.2" x14ac:dyDescent="0.6">
      <c r="A10" s="7" t="s">
        <v>56</v>
      </c>
    </row>
    <row r="11" spans="1:1" x14ac:dyDescent="0.3">
      <c r="A11" s="8" t="s">
        <v>57</v>
      </c>
    </row>
    <row r="12" spans="1:1" x14ac:dyDescent="0.3">
      <c r="A12" s="8" t="s">
        <v>58</v>
      </c>
    </row>
    <row r="13" spans="1:1" x14ac:dyDescent="0.3">
      <c r="A13" s="8" t="s">
        <v>59</v>
      </c>
    </row>
    <row r="14" spans="1:1" x14ac:dyDescent="0.3">
      <c r="A14" s="8" t="s">
        <v>60</v>
      </c>
    </row>
    <row r="16" spans="1:1" ht="25.2" x14ac:dyDescent="0.6">
      <c r="A16" s="7" t="s">
        <v>64</v>
      </c>
    </row>
    <row r="17" spans="1:1" x14ac:dyDescent="0.3">
      <c r="A17" s="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Clean Sales_Data</vt:lpstr>
      <vt:lpstr>Pivot table</vt:lpstr>
      <vt:lpstr>Dash Board</vt:lpstr>
      <vt:lpstr>observation and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Adenekan Grace</cp:lastModifiedBy>
  <dcterms:created xsi:type="dcterms:W3CDTF">2026-07-28T16:21:31Z</dcterms:created>
  <dcterms:modified xsi:type="dcterms:W3CDTF">2026-09-29T10:27:51Z</dcterms:modified>
</cp:coreProperties>
</file>